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9530" codeName="{DD97A8EA-9A9A-E61F-A557-7D5A7D7259CE}"/>
  <workbookPr codeName="ЭтаКнига"/>
  <mc:AlternateContent xmlns:mc="http://schemas.openxmlformats.org/markup-compatibility/2006">
    <mc:Choice Requires="x15">
      <x15ac:absPath xmlns:x15ac="http://schemas.microsoft.com/office/spreadsheetml/2010/11/ac" url="C:\Users\Алексей\Downloads\"/>
    </mc:Choice>
  </mc:AlternateContent>
  <xr:revisionPtr revIDLastSave="0" documentId="13_ncr:1_{B2BBAD1B-0AE3-49C8-ACE1-1E21C85E5AED}" xr6:coauthVersionLast="47" xr6:coauthVersionMax="47" xr10:uidLastSave="{00000000-0000-0000-0000-000000000000}"/>
  <bookViews>
    <workbookView xWindow="-98" yWindow="-98" windowWidth="23596" windowHeight="15076" activeTab="3" xr2:uid="{00000000-000D-0000-FFFF-FFFF00000000}"/>
  </bookViews>
  <sheets>
    <sheet name="Report" sheetId="7" r:id="rId1"/>
    <sheet name="Filtered Deals" sheetId="4" r:id="rId2"/>
    <sheet name="AXIOMA Deals Bulk" sheetId="3" r:id="rId3"/>
    <sheet name="Param" sheetId="5" r:id="rId4"/>
  </sheets>
  <functionGroups builtInGroupCount="19"/>
  <definedNames>
    <definedName name="_xlnm._FilterDatabase" localSheetId="2" hidden="1">'AXIOMA Deals Bulk'!$A$1:$AN$68</definedName>
    <definedName name="_xlnm._FilterDatabase" localSheetId="1" hidden="1">'Filtered Deals'!$A$1:$I$43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3" i="7" l="1"/>
  <c r="J7" i="7" l="1"/>
  <c r="J8" i="7"/>
  <c r="J9" i="7"/>
  <c r="J10" i="7"/>
  <c r="J11" i="7"/>
  <c r="J12" i="7"/>
  <c r="P7" i="7" l="1"/>
  <c r="Q7" i="7" s="1"/>
  <c r="R7" i="7" s="1"/>
  <c r="F3" i="7" s="1"/>
  <c r="L11" i="7" l="1"/>
  <c r="K11" i="7" s="1"/>
  <c r="L9" i="7"/>
  <c r="K9" i="7" s="1"/>
  <c r="N9" i="7"/>
  <c r="P9" i="7"/>
  <c r="Q9" i="7" s="1"/>
  <c r="R9" i="7" s="1"/>
  <c r="L10" i="7"/>
  <c r="K10" i="7" s="1"/>
  <c r="N10" i="7"/>
  <c r="P10" i="7"/>
  <c r="Q10" i="7" s="1"/>
  <c r="R10" i="7" s="1"/>
  <c r="N11" i="7"/>
  <c r="M11" i="7" s="1"/>
  <c r="P11" i="7"/>
  <c r="Q11" i="7" s="1"/>
  <c r="R11" i="7" s="1"/>
  <c r="L12" i="7"/>
  <c r="K12" i="7" s="1"/>
  <c r="N12" i="7"/>
  <c r="P12" i="7"/>
  <c r="Q12" i="7" s="1"/>
  <c r="R12" i="7" s="1"/>
  <c r="M9" i="7" l="1"/>
  <c r="M12" i="7"/>
  <c r="M10" i="7"/>
  <c r="L8" i="7"/>
  <c r="K8" i="7" s="1"/>
  <c r="N8" i="7"/>
  <c r="P8" i="7"/>
  <c r="Q8" i="7" s="1"/>
  <c r="R8" i="7" s="1"/>
  <c r="N7" i="7"/>
  <c r="L7" i="7"/>
  <c r="K7" i="7" s="1"/>
  <c r="M8" i="7" l="1"/>
  <c r="M7" i="7"/>
</calcChain>
</file>

<file path=xl/sharedStrings.xml><?xml version="1.0" encoding="utf-8"?>
<sst xmlns="http://schemas.openxmlformats.org/spreadsheetml/2006/main" count="791" uniqueCount="178">
  <si>
    <t>Сумма</t>
  </si>
  <si>
    <t>DealUid</t>
  </si>
  <si>
    <t>TradeDate</t>
  </si>
  <si>
    <t>IsCancelled</t>
  </si>
  <si>
    <t>Client</t>
  </si>
  <si>
    <t>Direction</t>
  </si>
  <si>
    <t>BaseCurrency</t>
  </si>
  <si>
    <t>BaseAmount</t>
  </si>
  <si>
    <t>ReferenceCurrency</t>
  </si>
  <si>
    <t>ClientRate</t>
  </si>
  <si>
    <t>BatchRate</t>
  </si>
  <si>
    <t>CbRate</t>
  </si>
  <si>
    <t>False</t>
  </si>
  <si>
    <t>RUB</t>
  </si>
  <si>
    <t>Sell</t>
  </si>
  <si>
    <t>Клиент</t>
  </si>
  <si>
    <t>Курс ЦБ</t>
  </si>
  <si>
    <t>axioma_columns</t>
  </si>
  <si>
    <t>report_columns</t>
  </si>
  <si>
    <t>BranchClientRate</t>
  </si>
  <si>
    <t>cb_rate_mult</t>
  </si>
  <si>
    <t>report_columns_frinendly</t>
  </si>
  <si>
    <t>Дата сделки</t>
  </si>
  <si>
    <t>min_amount</t>
  </si>
  <si>
    <t>Маржа ГО</t>
  </si>
  <si>
    <t>Стоимость хеджа</t>
  </si>
  <si>
    <t>Маржа Филиала</t>
  </si>
  <si>
    <t>Для расчета ср.взв.</t>
  </si>
  <si>
    <t>ИТОГОВЫЙ курс</t>
  </si>
  <si>
    <t>ИТОГОВЫЙ курс, % к ЦБ</t>
  </si>
  <si>
    <t>Ср. взв. курс, % к ЦБ</t>
  </si>
  <si>
    <t>BranchCode</t>
  </si>
  <si>
    <t>BatchUid</t>
  </si>
  <si>
    <t>DealRateType</t>
  </si>
  <si>
    <t/>
  </si>
  <si>
    <t>ГО</t>
  </si>
  <si>
    <t>sell</t>
  </si>
  <si>
    <t>Направление</t>
  </si>
  <si>
    <t>Код подразделения</t>
  </si>
  <si>
    <t>Курс в Филиале</t>
  </si>
  <si>
    <t>Курс в ГО</t>
  </si>
  <si>
    <t>Курс позиции</t>
  </si>
  <si>
    <t>26.01.2026</t>
  </si>
  <si>
    <t>Buy</t>
  </si>
  <si>
    <t>FX Trader</t>
  </si>
  <si>
    <t>Trader</t>
  </si>
  <si>
    <t>SwapLeg</t>
  </si>
  <si>
    <t>f3593776-7274-43d3-9e60-e44c63804e9a</t>
  </si>
  <si>
    <t>25c36ee8-1088-4df8-ac9e-da09a7c10fa9</t>
  </si>
  <si>
    <t>OPEN POSITION</t>
  </si>
  <si>
    <t>OpenPosition</t>
  </si>
  <si>
    <t>27.01.2026</t>
  </si>
  <si>
    <t>f4525e0b-e2a9-4b7d-ad88-a1e3e700139b</t>
  </si>
  <si>
    <t>5f96aae5-a71e-474b-9368-5a36d6de4937</t>
  </si>
  <si>
    <t>0c46a659-6f2f-41ca-8520-0d83f167e9f8</t>
  </si>
  <si>
    <t>12f7b3b4-bf3e-48f2-a396-aba9207ad9e1</t>
  </si>
  <si>
    <t>1d67bc53-c267-4e96-9317-2e3becad882c</t>
  </si>
  <si>
    <t>21020d3e-09bf-4822-831a-bab081dcc868</t>
  </si>
  <si>
    <t>520d4638-6866-45f0-9230-e6f53a989fcc</t>
  </si>
  <si>
    <t>1d8bf3b1-3c94-4246-981d-35030ef469e5</t>
  </si>
  <si>
    <t>dd46f812-e0bb-4c00-9ce0-4b5018faf98c</t>
  </si>
  <si>
    <t>57386650-60e9-4a81-9843-53fa2537714a</t>
  </si>
  <si>
    <t>a56392ca-4351-4820-ab57-ab8a561d756c</t>
  </si>
  <si>
    <t>70e954d7-195f-42fa-91a3-ea802f268015</t>
  </si>
  <si>
    <t>d1332b5a-1fcc-4232-9878-cb1463a614d1</t>
  </si>
  <si>
    <t>52f3c91f-9896-482d-8468-30ece0705c5a</t>
  </si>
  <si>
    <t>658e6c8d-53b1-46b4-90e7-91d7a224c6a2</t>
  </si>
  <si>
    <t>a1515312-9582-4081-b2f8-69c8e20f545f</t>
  </si>
  <si>
    <t>e3506a21-7600-45f5-b85a-320dd389a1f0</t>
  </si>
  <si>
    <t>08bedb63-9007-445a-96c5-eb0eec133b9c</t>
  </si>
  <si>
    <t>37c200e0-e872-479c-b552-b513995dfd21</t>
  </si>
  <si>
    <t>a5d8102a-de88-4cf8-bb6f-e6a237515239</t>
  </si>
  <si>
    <t>a28889a5-9b11-41f1-b303-f6e1e1c9d307</t>
  </si>
  <si>
    <t>4906a590-f5a7-4678-bccc-649c19dd47a5</t>
  </si>
  <si>
    <t>f1fd1705-4a3a-4e8f-bdec-3ff5e0650c70</t>
  </si>
  <si>
    <t>1c9365ff-fd7b-44d4-8089-e39240834c2e</t>
  </si>
  <si>
    <t>818a2b0e-805e-4cf8-8729-841bdc745e40</t>
  </si>
  <si>
    <t>fef9d57c-5ff8-49ec-aa03-669fecfe63c1</t>
  </si>
  <si>
    <t>aaf7b170-0bb2-4e8c-9888-99601a95fab0</t>
  </si>
  <si>
    <t>de394286-860c-43f4-818b-2fcacd654ab0</t>
  </si>
  <si>
    <t>16b91a37-1016-4ee8-895b-d9a4e0bd0bb6</t>
  </si>
  <si>
    <t>e1fb094a-1285-4596-949b-6150850c423e</t>
  </si>
  <si>
    <t>443d45a5-d7f2-468c-87d1-070e1ff14fd9</t>
  </si>
  <si>
    <t>1c224568-47cc-4f16-86b5-ea8a2665827a</t>
  </si>
  <si>
    <t>4a8ae486-4833-41e5-b61b-26a9c44dc5f8</t>
  </si>
  <si>
    <t>013b6435-c7c9-4536-ae9c-12ccb40a5f3a</t>
  </si>
  <si>
    <t>42f26d91-cf6e-43c3-b802-5673be118a6a</t>
  </si>
  <si>
    <t>fbdfeb42-0138-48fb-8990-56bd4ff46ed6</t>
  </si>
  <si>
    <t>72339a28-47f1-4d89-bd22-eb4e38403905</t>
  </si>
  <si>
    <t>76eebe7c-abb1-45b3-b6d4-f449d6df34a9</t>
  </si>
  <si>
    <t>ece875cc-c062-4b1a-ae70-82dab8ea9c8c</t>
  </si>
  <si>
    <t>c1d5b29c-5294-40aa-b1cd-3986b81999eb</t>
  </si>
  <si>
    <t>10126ac1-edd8-4750-92ce-874cbb2f6ffb</t>
  </si>
  <si>
    <t>d7a9c786-98c8-4eac-90a4-8d7d456d9f73</t>
  </si>
  <si>
    <t>98f477cb-161a-4cc5-841c-04f46a673062</t>
  </si>
  <si>
    <t>99e36ca2-a936-43fb-a9cd-8898daad1fc6</t>
  </si>
  <si>
    <t>2e066adf-d531-4ff3-83db-c4841f7c6b68</t>
  </si>
  <si>
    <t>deeb983e-c47a-4035-8459-a801cc9fa085</t>
  </si>
  <si>
    <t>e0220e62-9fd3-415f-8bd5-8ca9d7f6dd23</t>
  </si>
  <si>
    <t>8b4eb8be-7226-427a-9db0-ba6163424846</t>
  </si>
  <si>
    <t>29cec6ae-bfa7-485a-a75d-9814c2c62103</t>
  </si>
  <si>
    <t>673ce77a-f638-4d15-a745-4da2bcf2f53c</t>
  </si>
  <si>
    <t>bd8d8a19-d34b-4b52-9a77-6d98ebc120da</t>
  </si>
  <si>
    <t>933ea84d-9abf-4a46-97f9-3b60e86c212d</t>
  </si>
  <si>
    <t>c03736cb-0b4b-45a5-b76c-74638e0e99e6</t>
  </si>
  <si>
    <t>6e547655-1c6d-4f76-8f87-40909ee604ea</t>
  </si>
  <si>
    <t>cce9954d-8ef9-4446-a3a6-06801d6239af</t>
  </si>
  <si>
    <t>e733d9f4-e1be-4a09-8bbd-45b336058f72</t>
  </si>
  <si>
    <t>a4bfa3c4-ba87-4c2a-b4fb-29c8f5a92538</t>
  </si>
  <si>
    <t>b83c4b3c-f27d-480b-acc7-4544492c769f</t>
  </si>
  <si>
    <t>d7924b1d-939b-4021-b4ae-296918d9c04b</t>
  </si>
  <si>
    <t>f84c93db-8753-45e2-a73c-803e77a1ec4c</t>
  </si>
  <si>
    <t>4d759c6e-fa49-4ccc-b14a-b10604e2894a</t>
  </si>
  <si>
    <t>a41ab905-61fd-4b83-9382-6def374e34d9</t>
  </si>
  <si>
    <t>023c03f5-fa7b-4b6d-948d-e7afd7ae1bcc</t>
  </si>
  <si>
    <t>e0a1e313-ef12-4def-b009-5d7e75771f82</t>
  </si>
  <si>
    <t>f3b67d4e-7d1c-42a3-a3df-45fa16b94bc9</t>
  </si>
  <si>
    <t>8881ff39-13f0-4b4a-ac71-530d218e1031</t>
  </si>
  <si>
    <t>1e253695-c383-4554-a417-ad3157fc0540</t>
  </si>
  <si>
    <t>f6066a68-d78c-46c3-8b6b-a85501883df7</t>
  </si>
  <si>
    <t>c389a71f-0f7a-4d94-968f-79b102a8a182</t>
  </si>
  <si>
    <t>5c829e1a-9640-456d-8f00-12d5e51ce375</t>
  </si>
  <si>
    <t>4a0f8836-a004-495a-b25b-8f78775a6668</t>
  </si>
  <si>
    <t>47f20e82-2e0c-4515-a22c-246c0281d217</t>
  </si>
  <si>
    <t>8f0158b3-1bc8-4139-a858-de3cb7f8bb92</t>
  </si>
  <si>
    <t>ad95ea4c-d8fb-43d3-a33b-cbf59811bf72</t>
  </si>
  <si>
    <t>d1e84e57-7f85-4374-9e6c-f74e2e0f0335</t>
  </si>
  <si>
    <t>c125fa39-5b0e-49ff-b90d-e2951985450f</t>
  </si>
  <si>
    <t>00018012-2eb4-4293-9385-3470e487eabe</t>
  </si>
  <si>
    <t>504fba7c-bee3-401b-bc2a-3833cf86463e</t>
  </si>
  <si>
    <t>da7be9bd-2551-4139-9c7d-0c4b8e6edc69</t>
  </si>
  <si>
    <t>29efd493-9d88-49ed-aa54-2a0d76dae391</t>
  </si>
  <si>
    <t>b86425b7-1f25-4b4c-9a04-8868f1605891</t>
  </si>
  <si>
    <t>40764e75-d646-46d7-bdf2-2911ac1f5076</t>
  </si>
  <si>
    <t>ede38f56-8c0a-4e29-8814-a4c30efb2a4f</t>
  </si>
  <si>
    <t>cf5062aa-8159-4578-8ed0-b8455c145ab2</t>
  </si>
  <si>
    <t>f8cae68d-27bc-48d0-9336-e485bd2d545d</t>
  </si>
  <si>
    <t>4ca1c2b3-482f-4e23-9e93-d62b0ef7a827</t>
  </si>
  <si>
    <t>b69d0373-fe8f-4eb5-9d99-4c6f45b6e78c</t>
  </si>
  <si>
    <t>28.01.2026</t>
  </si>
  <si>
    <t>bbc6c43f-5df0-4864-bea8-7adf6559d641</t>
  </si>
  <si>
    <t>ef7ce660-cc53-44cd-9871-a7e088104bee</t>
  </si>
  <si>
    <t>07a96c8c-9fbd-4958-b979-acc62af28fa4</t>
  </si>
  <si>
    <t>9988505a-34a7-4f53-9b4d-c27e8ee7a4a1</t>
  </si>
  <si>
    <t>8e169829-145e-4adb-90c0-e4773bfb8c7d</t>
  </si>
  <si>
    <t>4cc86bb9-b7a6-4af1-8768-9fd2dc4a8c0d</t>
  </si>
  <si>
    <t>438a48ea-396d-4c52-be28-f79806f29a16</t>
  </si>
  <si>
    <t>Курс в Филиале, % к ЦБ</t>
  </si>
  <si>
    <t>Курс в ГО, % к ЦБ</t>
  </si>
  <si>
    <t>Курс позиции, % к ЦБ</t>
  </si>
  <si>
    <t>Internal</t>
  </si>
  <si>
    <t>c2abb04e-af47-416e-82de-fab144717a85</t>
  </si>
  <si>
    <t>e13c1232-bfca-4e17-af08-1a92b33db615</t>
  </si>
  <si>
    <t>dd44f4ee-0226-4f6f-b63d-2d16877aa1f4</t>
  </si>
  <si>
    <t>540675d7-6917-4f1e-bbf6-7d0dd72f0f9b</t>
  </si>
  <si>
    <t>Клиент1</t>
  </si>
  <si>
    <t>Клиент2</t>
  </si>
  <si>
    <t>Клиент3</t>
  </si>
  <si>
    <t>Клиент4</t>
  </si>
  <si>
    <t>Клиент5</t>
  </si>
  <si>
    <t>Клиент6</t>
  </si>
  <si>
    <t>Клиент7</t>
  </si>
  <si>
    <t>Клиент8</t>
  </si>
  <si>
    <t>Клиент9</t>
  </si>
  <si>
    <t>Клиент10</t>
  </si>
  <si>
    <t>Клиент11</t>
  </si>
  <si>
    <t>XXX</t>
  </si>
  <si>
    <t>Итоговая сумма, XXX</t>
  </si>
  <si>
    <t>empty_cell_allowed</t>
  </si>
  <si>
    <t>no</t>
  </si>
  <si>
    <t>never</t>
  </si>
  <si>
    <t>yes</t>
  </si>
  <si>
    <t>column_to_filter</t>
  </si>
  <si>
    <t>value_to_filter</t>
  </si>
  <si>
    <t>Aggregate</t>
  </si>
  <si>
    <t>Агрегация</t>
  </si>
  <si>
    <t>aggregate</t>
  </si>
  <si>
    <t>false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</si>
</sst>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dd\.mm\.yyyy"/>
    <numFmt numFmtId="165" formatCode="#,##0.00##;[Red]\-#,##0.00##"/>
    <numFmt numFmtId="166" formatCode="0.000000"/>
    <numFmt numFmtId="167" formatCode="dd\.mm\.yyyy\ hh:mm"/>
    <numFmt numFmtId="168" formatCode="0.0000"/>
  </numFmts>
  <fonts count="12" x14ac:knownFonts="1"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charset val="204"/>
      <scheme val="minor"/>
    </font>
    <font>
      <sz val="11"/>
      <name val="Calibri"/>
      <family val="2"/>
      <charset val="204"/>
      <scheme val="minor"/>
    </font>
    <font>
      <sz val="11"/>
      <color rgb="FFFF0000"/>
      <name val="Calibri"/>
      <family val="2"/>
      <charset val="204"/>
      <scheme val="minor"/>
    </font>
    <font>
      <b/>
      <sz val="11"/>
      <name val="Calibri"/>
      <family val="2"/>
      <charset val="204"/>
      <scheme val="minor"/>
    </font>
    <font>
      <sz val="11"/>
      <color theme="0" tint="-0.249977111117893"/>
      <name val="Calibri"/>
      <family val="2"/>
      <charset val="204"/>
      <scheme val="minor"/>
    </font>
    <font>
      <b/>
      <sz val="11"/>
      <color theme="0" tint="-0.249977111117893"/>
      <name val="Calibri"/>
      <family val="2"/>
      <charset val="204"/>
      <scheme val="minor"/>
    </font>
    <font>
      <sz val="10"/>
      <color rgb="FF000000"/>
      <name val="Calibri"/>
    </font>
    <font>
      <b/>
      <sz val="11"/>
      <name val="Calibri"/>
      <family val="2"/>
      <charset val="204"/>
    </font>
    <font>
      <sz val="10"/>
      <color rgb="FF000000"/>
      <name val="Calibri"/>
      <family val="2"/>
      <charset val="204"/>
    </font>
    <font>
      <sz val="8"/>
      <name val="Calibri"/>
      <family val="2"/>
      <charset val="204"/>
      <scheme val="minor"/>
    </font>
  </fonts>
  <fills count="6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39997558519241921"/>
        <bgColor indexed="64"/>
      </patternFill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2">
    <xf numFmtId="0" fontId="0" fillId="0" borderId="0"/>
    <xf numFmtId="0" fontId="1" fillId="0" borderId="0"/>
  </cellStyleXfs>
  <cellXfs count="53">
    <xf numFmtId="0" fontId="0" fillId="0" borderId="0" xfId="0"/>
    <xf numFmtId="14" fontId="4" fillId="2" borderId="0" xfId="0" applyNumberFormat="1" applyFont="1" applyFill="1" applyAlignment="1">
      <alignment horizontal="right"/>
    </xf>
    <xf numFmtId="0" fontId="0" fillId="2" borderId="0" xfId="0" applyFill="1" applyAlignment="1">
      <alignment horizontal="right"/>
    </xf>
    <xf numFmtId="4" fontId="0" fillId="2" borderId="0" xfId="0" applyNumberFormat="1" applyFill="1" applyAlignment="1">
      <alignment horizontal="right"/>
    </xf>
    <xf numFmtId="166" fontId="0" fillId="2" borderId="0" xfId="0" applyNumberFormat="1" applyFill="1" applyAlignment="1">
      <alignment horizontal="right"/>
    </xf>
    <xf numFmtId="10" fontId="0" fillId="2" borderId="0" xfId="0" applyNumberFormat="1" applyFill="1" applyAlignment="1">
      <alignment horizontal="right"/>
    </xf>
    <xf numFmtId="0" fontId="6" fillId="2" borderId="0" xfId="0" applyFont="1" applyFill="1" applyAlignment="1">
      <alignment horizontal="right"/>
    </xf>
    <xf numFmtId="0" fontId="2" fillId="3" borderId="1" xfId="0" applyFont="1" applyFill="1" applyBorder="1" applyAlignment="1">
      <alignment horizontal="right"/>
    </xf>
    <xf numFmtId="4" fontId="0" fillId="2" borderId="1" xfId="0" applyNumberFormat="1" applyFill="1" applyBorder="1" applyAlignment="1">
      <alignment horizontal="right"/>
    </xf>
    <xf numFmtId="10" fontId="0" fillId="2" borderId="1" xfId="0" applyNumberFormat="1" applyFill="1" applyBorder="1" applyAlignment="1">
      <alignment horizontal="right"/>
    </xf>
    <xf numFmtId="14" fontId="5" fillId="0" borderId="1" xfId="0" applyNumberFormat="1" applyFont="1" applyBorder="1" applyAlignment="1">
      <alignment horizontal="right" vertical="center"/>
    </xf>
    <xf numFmtId="0" fontId="5" fillId="0" borderId="1" xfId="0" applyFont="1" applyBorder="1" applyAlignment="1">
      <alignment horizontal="right" vertical="center"/>
    </xf>
    <xf numFmtId="4" fontId="5" fillId="0" borderId="1" xfId="0" applyNumberFormat="1" applyFont="1" applyBorder="1" applyAlignment="1">
      <alignment horizontal="right" vertical="center"/>
    </xf>
    <xf numFmtId="166" fontId="5" fillId="0" borderId="1" xfId="0" applyNumberFormat="1" applyFont="1" applyBorder="1" applyAlignment="1">
      <alignment horizontal="right" vertical="center"/>
    </xf>
    <xf numFmtId="166" fontId="2" fillId="0" borderId="1" xfId="0" applyNumberFormat="1" applyFont="1" applyBorder="1" applyAlignment="1">
      <alignment horizontal="right" vertical="center"/>
    </xf>
    <xf numFmtId="10" fontId="2" fillId="5" borderId="1" xfId="0" applyNumberFormat="1" applyFont="1" applyFill="1" applyBorder="1" applyAlignment="1">
      <alignment horizontal="right" vertical="center"/>
    </xf>
    <xf numFmtId="10" fontId="2" fillId="3" borderId="1" xfId="0" applyNumberFormat="1" applyFont="1" applyFill="1" applyBorder="1" applyAlignment="1">
      <alignment horizontal="right" vertical="center"/>
    </xf>
    <xf numFmtId="166" fontId="2" fillId="3" borderId="1" xfId="0" applyNumberFormat="1" applyFont="1" applyFill="1" applyBorder="1" applyAlignment="1">
      <alignment horizontal="right" vertical="center"/>
    </xf>
    <xf numFmtId="0" fontId="2" fillId="2" borderId="0" xfId="0" applyFont="1" applyFill="1" applyAlignment="1">
      <alignment horizontal="right" vertical="center"/>
    </xf>
    <xf numFmtId="0" fontId="7" fillId="2" borderId="0" xfId="0" applyFont="1" applyFill="1" applyAlignment="1">
      <alignment horizontal="right" vertical="center"/>
    </xf>
    <xf numFmtId="14" fontId="0" fillId="0" borderId="1" xfId="0" applyNumberFormat="1" applyBorder="1" applyAlignment="1">
      <alignment horizontal="right" vertical="center"/>
    </xf>
    <xf numFmtId="0" fontId="0" fillId="0" borderId="1" xfId="0" applyBorder="1" applyAlignment="1">
      <alignment horizontal="right" vertical="center"/>
    </xf>
    <xf numFmtId="4" fontId="0" fillId="0" borderId="1" xfId="0" applyNumberFormat="1" applyBorder="1" applyAlignment="1">
      <alignment horizontal="right" vertical="center"/>
    </xf>
    <xf numFmtId="166" fontId="0" fillId="0" borderId="1" xfId="0" applyNumberFormat="1" applyBorder="1" applyAlignment="1">
      <alignment horizontal="right" vertical="center"/>
    </xf>
    <xf numFmtId="10" fontId="0" fillId="4" borderId="1" xfId="0" applyNumberFormat="1" applyFill="1" applyBorder="1" applyAlignment="1">
      <alignment horizontal="right"/>
    </xf>
    <xf numFmtId="166" fontId="0" fillId="2" borderId="1" xfId="0" applyNumberFormat="1" applyFill="1" applyBorder="1" applyAlignment="1">
      <alignment horizontal="right"/>
    </xf>
    <xf numFmtId="14" fontId="0" fillId="2" borderId="0" xfId="0" applyNumberFormat="1" applyFill="1" applyAlignment="1">
      <alignment horizontal="right"/>
    </xf>
    <xf numFmtId="0" fontId="0" fillId="2" borderId="1" xfId="0" applyFill="1" applyBorder="1" applyAlignment="1">
      <alignment horizontal="right" vertical="center"/>
    </xf>
    <xf numFmtId="0" fontId="9" fillId="0" borderId="0" xfId="0" applyFont="1" applyAlignment="1">
      <alignment horizontal="center" vertical="center"/>
    </xf>
    <xf numFmtId="0" fontId="3" fillId="0" borderId="0" xfId="0" applyFont="1"/>
    <xf numFmtId="0" fontId="8" fillId="0" borderId="0" xfId="0" applyFont="1" applyAlignment="1">
      <alignment vertical="center"/>
    </xf>
    <xf numFmtId="164" fontId="8" fillId="0" borderId="0" xfId="0" applyNumberFormat="1" applyFont="1" applyAlignment="1">
      <alignment vertical="center"/>
    </xf>
    <xf numFmtId="167" fontId="8" fillId="0" borderId="0" xfId="0" applyNumberFormat="1" applyFont="1" applyAlignment="1">
      <alignment vertical="center"/>
    </xf>
    <xf numFmtId="0" fontId="10" fillId="0" borderId="0" xfId="0" applyFont="1" applyAlignment="1">
      <alignment vertical="center"/>
    </xf>
    <xf numFmtId="165" fontId="8" fillId="0" borderId="0" xfId="0" applyNumberFormat="1" applyFont="1" applyAlignment="1">
      <alignment vertical="center"/>
    </xf>
    <xf numFmtId="165" fontId="10" fillId="0" borderId="0" xfId="0" applyNumberFormat="1" applyFont="1" applyAlignment="1">
      <alignment vertical="center"/>
    </xf>
    <xf numFmtId="4" fontId="5" fillId="0" borderId="1" xfId="0" applyNumberFormat="1" applyFont="1" applyBorder="1" applyAlignment="1">
      <alignment horizontal="center" vertical="center"/>
    </xf>
    <xf numFmtId="4" fontId="3" fillId="0" borderId="1" xfId="0" applyNumberFormat="1" applyFont="1" applyBorder="1" applyAlignment="1">
      <alignment horizontal="center" vertical="center"/>
    </xf>
    <xf numFmtId="4" fontId="0" fillId="0" borderId="1" xfId="0" applyNumberFormat="1" applyBorder="1" applyAlignment="1">
      <alignment horizontal="center" vertical="center"/>
    </xf>
    <xf numFmtId="0" fontId="5" fillId="0" borderId="1" xfId="0" applyFont="1" applyBorder="1" applyAlignment="1">
      <alignment horizontal="center" vertical="center"/>
    </xf>
    <xf numFmtId="0" fontId="5" fillId="0" borderId="1" xfId="0" applyFont="1" applyBorder="1" applyAlignment="1">
      <alignment horizontal="left" vertical="center"/>
    </xf>
    <xf numFmtId="0" fontId="2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1" xfId="0" applyBorder="1" applyAlignment="1">
      <alignment horizontal="left" vertical="center"/>
    </xf>
    <xf numFmtId="0" fontId="3" fillId="0" borderId="1" xfId="0" applyFont="1" applyBorder="1" applyAlignment="1">
      <alignment horizontal="center" vertical="center"/>
    </xf>
    <xf numFmtId="0" fontId="3" fillId="0" borderId="1" xfId="0" applyFont="1" applyBorder="1" applyAlignment="1">
      <alignment horizontal="left" vertical="center"/>
    </xf>
    <xf numFmtId="168" fontId="5" fillId="0" borderId="1" xfId="0" applyNumberFormat="1" applyFont="1" applyBorder="1" applyAlignment="1">
      <alignment horizontal="center" vertical="center"/>
    </xf>
    <xf numFmtId="168" fontId="0" fillId="0" borderId="1" xfId="0" applyNumberFormat="1" applyBorder="1" applyAlignment="1">
      <alignment horizontal="center" vertical="center"/>
    </xf>
    <xf numFmtId="168" fontId="3" fillId="0" borderId="1" xfId="0" applyNumberFormat="1" applyFont="1" applyBorder="1" applyAlignment="1">
      <alignment horizontal="center" vertical="center"/>
    </xf>
    <xf numFmtId="0" fontId="2" fillId="0" borderId="0" xfId="0" applyFont="1" applyFill="1" applyAlignment="1">
      <alignment horizontal="left" vertical="center"/>
    </xf>
    <xf numFmtId="0" fontId="0" fillId="0" borderId="0" xfId="0" applyFill="1" applyAlignment="1">
      <alignment horizontal="left" vertical="center"/>
    </xf>
    <xf numFmtId="3" fontId="0" fillId="0" borderId="0" xfId="0" applyNumberFormat="1" applyFill="1" applyAlignment="1">
      <alignment horizontal="left" vertical="center"/>
    </xf>
    <xf numFmtId="0" fontId="4" fillId="0" borderId="0" xfId="0" applyFont="1" applyFill="1" applyAlignment="1">
      <alignment horizontal="left" vertical="center"/>
    </xf>
  </cellXfs>
  <cellStyles count="2">
    <cellStyle name="Обычный" xfId="0" builtinId="0"/>
    <cellStyle name="Обычный 2" xfId="1" xr:uid="{00000000-0005-0000-0000-000001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1"/>
  <dimension ref="B1:R12"/>
  <sheetViews>
    <sheetView zoomScaleNormal="100" workbookViewId="0">
      <selection activeCell="G25" sqref="G25"/>
    </sheetView>
  </sheetViews>
  <sheetFormatPr defaultColWidth="9" defaultRowHeight="14.25" x14ac:dyDescent="0.45"/>
  <cols>
    <col min="1" max="1" width="9" style="2"/>
    <col min="2" max="2" width="12.265625" style="26" bestFit="1" customWidth="1"/>
    <col min="3" max="3" width="38.1328125" style="2" bestFit="1" customWidth="1"/>
    <col min="4" max="4" width="13.3984375" style="2" bestFit="1" customWidth="1"/>
    <col min="5" max="5" width="20.3984375" style="3" bestFit="1" customWidth="1"/>
    <col min="6" max="6" width="19.3984375" style="2" bestFit="1" customWidth="1"/>
    <col min="7" max="7" width="23.59765625" style="4" bestFit="1" customWidth="1"/>
    <col min="8" max="8" width="19.3984375" style="4" bestFit="1" customWidth="1"/>
    <col min="9" max="9" width="20.265625" style="4" bestFit="1" customWidth="1"/>
    <col min="10" max="10" width="22.73046875" style="5" bestFit="1" customWidth="1"/>
    <col min="11" max="11" width="16.265625" style="5" bestFit="1" customWidth="1"/>
    <col min="12" max="12" width="16.3984375" style="5" bestFit="1" customWidth="1"/>
    <col min="13" max="13" width="10.265625" style="5" bestFit="1" customWidth="1"/>
    <col min="14" max="14" width="20.59765625" style="5" bestFit="1" customWidth="1"/>
    <col min="15" max="15" width="17.3984375" style="5" bestFit="1" customWidth="1"/>
    <col min="16" max="16" width="16" style="4" bestFit="1" customWidth="1"/>
    <col min="17" max="17" width="23.265625" style="5" bestFit="1" customWidth="1"/>
    <col min="18" max="18" width="18.73046875" style="6" bestFit="1" customWidth="1"/>
    <col min="19" max="16384" width="9" style="2"/>
  </cols>
  <sheetData>
    <row r="1" spans="2:18" x14ac:dyDescent="0.45">
      <c r="B1" s="1"/>
    </row>
    <row r="2" spans="2:18" x14ac:dyDescent="0.45">
      <c r="B2" s="1"/>
      <c r="E2" s="7" t="s">
        <v>167</v>
      </c>
      <c r="F2" s="7" t="s">
        <v>30</v>
      </c>
    </row>
    <row r="3" spans="2:18" x14ac:dyDescent="0.45">
      <c r="B3" s="1"/>
      <c r="E3" s="8">
        <f>SUM(E7:E1048576)</f>
        <v>0</v>
      </c>
      <c r="F3" s="9" t="e">
        <f>SUM(R7:R1048576)/E3</f>
        <v>#DIV/0!</v>
      </c>
    </row>
    <row r="4" spans="2:18" x14ac:dyDescent="0.45">
      <c r="B4" s="1"/>
    </row>
    <row r="5" spans="2:18" x14ac:dyDescent="0.45">
      <c r="B5" s="1"/>
    </row>
    <row r="6" spans="2:18" s="18" customFormat="1" x14ac:dyDescent="0.45">
      <c r="B6" s="10"/>
      <c r="C6" s="11"/>
      <c r="D6" s="11"/>
      <c r="E6" s="12"/>
      <c r="F6" s="13"/>
      <c r="G6" s="13"/>
      <c r="H6" s="13"/>
      <c r="I6" s="14"/>
      <c r="J6" s="15" t="s">
        <v>147</v>
      </c>
      <c r="K6" s="16" t="s">
        <v>26</v>
      </c>
      <c r="L6" s="15" t="s">
        <v>148</v>
      </c>
      <c r="M6" s="16" t="s">
        <v>24</v>
      </c>
      <c r="N6" s="15" t="s">
        <v>149</v>
      </c>
      <c r="O6" s="16" t="s">
        <v>25</v>
      </c>
      <c r="P6" s="17" t="s">
        <v>28</v>
      </c>
      <c r="Q6" s="15" t="s">
        <v>29</v>
      </c>
      <c r="R6" s="19" t="s">
        <v>27</v>
      </c>
    </row>
    <row r="7" spans="2:18" x14ac:dyDescent="0.45">
      <c r="B7" s="20"/>
      <c r="C7" s="21"/>
      <c r="D7" s="21"/>
      <c r="E7" s="22"/>
      <c r="F7" s="23"/>
      <c r="G7" s="23"/>
      <c r="H7" s="23"/>
      <c r="I7" s="23"/>
      <c r="J7" s="24" t="str">
        <f>IF(G7="","",(G7-$F7)/$F7)</f>
        <v/>
      </c>
      <c r="K7" s="9" t="str">
        <f>IF(G7="","",L7-J7)</f>
        <v/>
      </c>
      <c r="L7" s="24" t="str">
        <f t="shared" ref="L7:L12" si="0">IF(H7="","",(H7-$F7)/$F7)</f>
        <v/>
      </c>
      <c r="M7" s="9" t="e">
        <f>N7-L7</f>
        <v>#VALUE!</v>
      </c>
      <c r="N7" s="24" t="str">
        <f t="shared" ref="N7:N12" si="1">IF(I7="","",(I7-$F7)/$F7)</f>
        <v/>
      </c>
      <c r="O7" s="9">
        <v>5.0000000000000001E-3</v>
      </c>
      <c r="P7" s="25">
        <f>I7+I7*O7</f>
        <v>0</v>
      </c>
      <c r="Q7" s="24" t="e">
        <f>(P7-F7)/F7</f>
        <v>#DIV/0!</v>
      </c>
      <c r="R7" s="6" t="e">
        <f t="shared" ref="R7:R12" si="2">Q7*E7</f>
        <v>#DIV/0!</v>
      </c>
    </row>
    <row r="8" spans="2:18" x14ac:dyDescent="0.45">
      <c r="B8" s="20"/>
      <c r="C8" s="21"/>
      <c r="D8" s="21"/>
      <c r="E8" s="22"/>
      <c r="F8" s="23"/>
      <c r="G8" s="23"/>
      <c r="H8" s="23"/>
      <c r="I8" s="23"/>
      <c r="J8" s="24" t="str">
        <f t="shared" ref="J8:J12" si="3">IF(G8="","",(G8-$F8)/$F8)</f>
        <v/>
      </c>
      <c r="K8" s="9" t="str">
        <f t="shared" ref="K8:K12" si="4">IF(G8="","",L8-J8)</f>
        <v/>
      </c>
      <c r="L8" s="24" t="str">
        <f t="shared" si="0"/>
        <v/>
      </c>
      <c r="M8" s="9" t="e">
        <f t="shared" ref="M8:M12" si="5">N8-L8</f>
        <v>#VALUE!</v>
      </c>
      <c r="N8" s="24" t="str">
        <f t="shared" si="1"/>
        <v/>
      </c>
      <c r="O8" s="9">
        <v>5.0000000000000001E-3</v>
      </c>
      <c r="P8" s="25">
        <f t="shared" ref="P8:P9" si="6">I8+I8*O8</f>
        <v>0</v>
      </c>
      <c r="Q8" s="24" t="e">
        <f t="shared" ref="Q8:Q12" si="7">(P8-F8)/F8</f>
        <v>#DIV/0!</v>
      </c>
      <c r="R8" s="6" t="e">
        <f t="shared" si="2"/>
        <v>#DIV/0!</v>
      </c>
    </row>
    <row r="9" spans="2:18" x14ac:dyDescent="0.45">
      <c r="B9" s="20"/>
      <c r="C9" s="27"/>
      <c r="D9" s="21"/>
      <c r="E9" s="22"/>
      <c r="F9" s="23"/>
      <c r="G9" s="23"/>
      <c r="H9" s="23"/>
      <c r="I9" s="23"/>
      <c r="J9" s="24" t="str">
        <f t="shared" si="3"/>
        <v/>
      </c>
      <c r="K9" s="9" t="str">
        <f t="shared" si="4"/>
        <v/>
      </c>
      <c r="L9" s="24" t="str">
        <f t="shared" si="0"/>
        <v/>
      </c>
      <c r="M9" s="9" t="e">
        <f t="shared" si="5"/>
        <v>#VALUE!</v>
      </c>
      <c r="N9" s="24" t="str">
        <f t="shared" si="1"/>
        <v/>
      </c>
      <c r="O9" s="9">
        <v>5.0000000000000001E-3</v>
      </c>
      <c r="P9" s="25">
        <f t="shared" si="6"/>
        <v>0</v>
      </c>
      <c r="Q9" s="24" t="e">
        <f t="shared" si="7"/>
        <v>#DIV/0!</v>
      </c>
      <c r="R9" s="6" t="e">
        <f t="shared" si="2"/>
        <v>#DIV/0!</v>
      </c>
    </row>
    <row r="10" spans="2:18" x14ac:dyDescent="0.45">
      <c r="B10" s="20"/>
      <c r="C10" s="21"/>
      <c r="D10" s="21"/>
      <c r="E10" s="22"/>
      <c r="F10" s="23"/>
      <c r="G10" s="23"/>
      <c r="H10" s="23"/>
      <c r="I10" s="23"/>
      <c r="J10" s="24" t="str">
        <f t="shared" si="3"/>
        <v/>
      </c>
      <c r="K10" s="9" t="str">
        <f t="shared" si="4"/>
        <v/>
      </c>
      <c r="L10" s="24" t="str">
        <f t="shared" si="0"/>
        <v/>
      </c>
      <c r="M10" s="9" t="e">
        <f t="shared" si="5"/>
        <v>#VALUE!</v>
      </c>
      <c r="N10" s="24" t="str">
        <f t="shared" si="1"/>
        <v/>
      </c>
      <c r="O10" s="9">
        <v>5.0000000000000001E-3</v>
      </c>
      <c r="P10" s="25">
        <f t="shared" ref="P10:P12" si="8">I10+I10*O10</f>
        <v>0</v>
      </c>
      <c r="Q10" s="24" t="e">
        <f t="shared" si="7"/>
        <v>#DIV/0!</v>
      </c>
      <c r="R10" s="6" t="e">
        <f t="shared" si="2"/>
        <v>#DIV/0!</v>
      </c>
    </row>
    <row r="11" spans="2:18" x14ac:dyDescent="0.45">
      <c r="B11" s="20"/>
      <c r="C11" s="21"/>
      <c r="D11" s="21"/>
      <c r="E11" s="22"/>
      <c r="F11" s="23"/>
      <c r="G11" s="23"/>
      <c r="H11" s="23"/>
      <c r="I11" s="23"/>
      <c r="J11" s="24" t="str">
        <f t="shared" si="3"/>
        <v/>
      </c>
      <c r="K11" s="9" t="str">
        <f t="shared" si="4"/>
        <v/>
      </c>
      <c r="L11" s="24" t="str">
        <f t="shared" si="0"/>
        <v/>
      </c>
      <c r="M11" s="9" t="e">
        <f t="shared" si="5"/>
        <v>#VALUE!</v>
      </c>
      <c r="N11" s="24" t="str">
        <f t="shared" si="1"/>
        <v/>
      </c>
      <c r="O11" s="9">
        <v>5.0000000000000001E-3</v>
      </c>
      <c r="P11" s="25">
        <f t="shared" si="8"/>
        <v>0</v>
      </c>
      <c r="Q11" s="24" t="e">
        <f t="shared" si="7"/>
        <v>#DIV/0!</v>
      </c>
      <c r="R11" s="6" t="e">
        <f t="shared" si="2"/>
        <v>#DIV/0!</v>
      </c>
    </row>
    <row r="12" spans="2:18" x14ac:dyDescent="0.45">
      <c r="B12" s="20"/>
      <c r="C12" s="21"/>
      <c r="D12" s="21"/>
      <c r="E12" s="22"/>
      <c r="F12" s="23"/>
      <c r="G12" s="23"/>
      <c r="H12" s="23"/>
      <c r="I12" s="23"/>
      <c r="J12" s="24" t="str">
        <f t="shared" si="3"/>
        <v/>
      </c>
      <c r="K12" s="9" t="str">
        <f t="shared" si="4"/>
        <v/>
      </c>
      <c r="L12" s="24" t="str">
        <f t="shared" si="0"/>
        <v/>
      </c>
      <c r="M12" s="9" t="e">
        <f t="shared" si="5"/>
        <v>#VALUE!</v>
      </c>
      <c r="N12" s="24" t="str">
        <f t="shared" si="1"/>
        <v/>
      </c>
      <c r="O12" s="9">
        <v>5.0000000000000001E-3</v>
      </c>
      <c r="P12" s="25">
        <f t="shared" si="8"/>
        <v>0</v>
      </c>
      <c r="Q12" s="24" t="e">
        <f t="shared" si="7"/>
        <v>#DIV/0!</v>
      </c>
      <c r="R12" s="6" t="e">
        <f t="shared" si="2"/>
        <v>#DIV/0!</v>
      </c>
    </row>
  </sheetData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Лист2"/>
  <dimension ref="A1:J18"/>
  <sheetViews>
    <sheetView workbookViewId="0">
      <selection activeCell="J14" sqref="J14"/>
    </sheetView>
  </sheetViews>
  <sheetFormatPr defaultColWidth="9.1328125" defaultRowHeight="14.25" x14ac:dyDescent="0.45"/>
  <cols>
    <col min="1" max="1" width="11.06640625" style="42" bestFit="1" customWidth="1"/>
    <col min="2" max="2" width="7.59765625" style="42" bestFit="1" customWidth="1"/>
    <col min="3" max="3" width="11.9296875" style="43" bestFit="1" customWidth="1"/>
    <col min="4" max="4" width="13.19921875" style="38" bestFit="1" customWidth="1"/>
    <col min="5" max="5" width="7.3984375" style="47" bestFit="1" customWidth="1"/>
    <col min="6" max="6" width="14" style="42" bestFit="1" customWidth="1"/>
    <col min="7" max="7" width="8.6640625" style="47" bestFit="1" customWidth="1"/>
    <col min="8" max="8" width="12.19921875" style="47" bestFit="1" customWidth="1"/>
    <col min="9" max="9" width="17.796875" style="42" bestFit="1" customWidth="1"/>
    <col min="10" max="10" width="9.33203125" style="42" bestFit="1" customWidth="1"/>
    <col min="11" max="16384" width="9.1328125" style="42"/>
  </cols>
  <sheetData>
    <row r="1" spans="1:10" s="41" customFormat="1" x14ac:dyDescent="0.45">
      <c r="A1" s="39" t="s">
        <v>22</v>
      </c>
      <c r="B1" s="39" t="s">
        <v>15</v>
      </c>
      <c r="C1" s="40" t="s">
        <v>37</v>
      </c>
      <c r="D1" s="36" t="s">
        <v>0</v>
      </c>
      <c r="E1" s="46" t="s">
        <v>16</v>
      </c>
      <c r="F1" s="39" t="s">
        <v>39</v>
      </c>
      <c r="G1" s="46" t="s">
        <v>40</v>
      </c>
      <c r="H1" s="46" t="s">
        <v>41</v>
      </c>
      <c r="I1" s="41" t="s">
        <v>38</v>
      </c>
      <c r="J1" s="41" t="s">
        <v>175</v>
      </c>
    </row>
    <row r="2" spans="1:10" x14ac:dyDescent="0.45">
      <c r="A2" s="42" t="s">
        <v>51</v>
      </c>
      <c r="B2" s="42" t="s">
        <v>155</v>
      </c>
      <c r="C2" s="43" t="s">
        <v>14</v>
      </c>
      <c r="D2" s="38">
        <v>295468491.5</v>
      </c>
      <c r="E2" s="47">
        <v>1.4000000000000002E-3</v>
      </c>
      <c r="G2" s="47">
        <v>0.12</v>
      </c>
      <c r="H2" s="47">
        <v>0.13</v>
      </c>
      <c r="I2" s="42" t="s">
        <v>35</v>
      </c>
    </row>
    <row r="3" spans="1:10" x14ac:dyDescent="0.45">
      <c r="A3" s="42" t="s">
        <v>51</v>
      </c>
      <c r="B3" s="42" t="s">
        <v>156</v>
      </c>
      <c r="C3" s="43" t="s">
        <v>14</v>
      </c>
      <c r="D3" s="38">
        <v>92735225</v>
      </c>
      <c r="E3" s="47">
        <v>1.4000000000000002E-3</v>
      </c>
      <c r="G3" s="47">
        <v>0.12</v>
      </c>
      <c r="H3" s="47">
        <v>0.13</v>
      </c>
      <c r="I3" s="42" t="s">
        <v>35</v>
      </c>
    </row>
    <row r="4" spans="1:10" x14ac:dyDescent="0.45">
      <c r="A4" s="42" t="s">
        <v>139</v>
      </c>
      <c r="B4" s="42" t="s">
        <v>157</v>
      </c>
      <c r="C4" s="43" t="s">
        <v>14</v>
      </c>
      <c r="D4" s="38">
        <v>74079630.290000007</v>
      </c>
      <c r="E4" s="47">
        <v>1.4000000000000002E-3</v>
      </c>
      <c r="G4" s="47">
        <v>0.12</v>
      </c>
      <c r="H4" s="47">
        <v>0.13</v>
      </c>
      <c r="I4" s="42" t="s">
        <v>35</v>
      </c>
    </row>
    <row r="5" spans="1:10" x14ac:dyDescent="0.45">
      <c r="A5" s="42" t="s">
        <v>51</v>
      </c>
      <c r="B5" s="42" t="s">
        <v>155</v>
      </c>
      <c r="C5" s="43" t="s">
        <v>14</v>
      </c>
      <c r="D5" s="38">
        <v>33841866.200000003</v>
      </c>
      <c r="E5" s="47">
        <v>1.4000000000000002E-3</v>
      </c>
      <c r="G5" s="47">
        <v>0.12</v>
      </c>
      <c r="H5" s="47">
        <v>0.13</v>
      </c>
      <c r="I5" s="42" t="s">
        <v>35</v>
      </c>
    </row>
    <row r="6" spans="1:10" x14ac:dyDescent="0.45">
      <c r="A6" s="42" t="s">
        <v>51</v>
      </c>
      <c r="B6" s="42" t="s">
        <v>161</v>
      </c>
      <c r="C6" s="43" t="s">
        <v>14</v>
      </c>
      <c r="D6" s="38">
        <v>30000000</v>
      </c>
      <c r="E6" s="47">
        <v>1.4000000000000002E-3</v>
      </c>
      <c r="G6" s="47">
        <v>0.12</v>
      </c>
      <c r="H6" s="47">
        <v>0.13</v>
      </c>
      <c r="I6" s="42" t="s">
        <v>35</v>
      </c>
    </row>
    <row r="18" spans="1:9" x14ac:dyDescent="0.45">
      <c r="A18" s="44"/>
      <c r="B18" s="44"/>
      <c r="C18" s="45"/>
      <c r="D18" s="37"/>
      <c r="E18" s="48"/>
      <c r="F18" s="44"/>
      <c r="G18" s="48"/>
      <c r="H18" s="48"/>
      <c r="I18" s="44"/>
    </row>
  </sheetData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Лист4" filterMode="1"/>
  <dimension ref="A1:AN68"/>
  <sheetViews>
    <sheetView workbookViewId="0">
      <selection activeCell="U86" sqref="U86"/>
    </sheetView>
  </sheetViews>
  <sheetFormatPr defaultRowHeight="14.25" x14ac:dyDescent="0.45"/>
  <cols>
    <col min="3" max="3" width="36" bestFit="1" customWidth="1"/>
    <col min="4" max="4" width="19.3984375" customWidth="1"/>
    <col min="5" max="5" width="19.86328125" customWidth="1"/>
    <col min="6" max="6" width="18" customWidth="1"/>
    <col min="7" max="8" width="16.86328125" customWidth="1"/>
    <col min="9" max="10" width="19.73046875" customWidth="1"/>
    <col min="11" max="11" width="15.73046875" customWidth="1"/>
    <col min="12" max="12" width="13.73046875" customWidth="1"/>
    <col min="13" max="13" width="35.86328125" bestFit="1" customWidth="1"/>
    <col min="14" max="14" width="20.1328125" customWidth="1"/>
    <col min="15" max="17" width="15.265625" customWidth="1"/>
    <col min="18" max="18" width="12.73046875" customWidth="1"/>
    <col min="19" max="19" width="15" customWidth="1"/>
    <col min="20" max="20" width="18.265625" customWidth="1"/>
    <col min="21" max="22" width="12.86328125" customWidth="1"/>
    <col min="23" max="23" width="13.73046875" customWidth="1"/>
    <col min="24" max="24" width="18.86328125" customWidth="1"/>
    <col min="25" max="25" width="18.1328125" customWidth="1"/>
    <col min="26" max="26" width="18" customWidth="1"/>
    <col min="27" max="27" width="19.73046875" customWidth="1"/>
    <col min="28" max="28" width="22.59765625" customWidth="1"/>
    <col min="29" max="29" width="35.265625" customWidth="1"/>
    <col min="30" max="30" width="10.265625" customWidth="1"/>
    <col min="31" max="31" width="27.265625" customWidth="1"/>
    <col min="32" max="32" width="15.1328125" customWidth="1"/>
    <col min="33" max="33" width="14.86328125" customWidth="1"/>
    <col min="34" max="34" width="15.86328125" customWidth="1"/>
    <col min="35" max="35" width="12.59765625" customWidth="1"/>
    <col min="36" max="36" width="12.73046875" customWidth="1"/>
    <col min="37" max="37" width="13.1328125" customWidth="1"/>
    <col min="38" max="38" width="14" customWidth="1"/>
    <col min="39" max="39" width="12.1328125" customWidth="1"/>
    <col min="40" max="40" width="12.265625" customWidth="1"/>
  </cols>
  <sheetData>
    <row r="1" spans="1:40" s="29" customFormat="1" ht="16.5" customHeight="1" x14ac:dyDescent="0.45">
      <c r="A1" s="28"/>
      <c r="B1" s="28"/>
      <c r="C1" s="28" t="s">
        <v>1</v>
      </c>
      <c r="D1" s="28"/>
      <c r="E1" s="28" t="s">
        <v>2</v>
      </c>
      <c r="F1" s="28"/>
      <c r="G1" s="28" t="s">
        <v>31</v>
      </c>
      <c r="H1" s="28"/>
      <c r="I1" s="28"/>
      <c r="J1" s="28"/>
      <c r="K1" s="28"/>
      <c r="L1" s="28"/>
      <c r="M1" s="28" t="s">
        <v>32</v>
      </c>
      <c r="N1" s="28"/>
      <c r="O1" s="28"/>
      <c r="P1" s="28" t="s">
        <v>3</v>
      </c>
      <c r="Q1" s="28"/>
      <c r="R1" s="28"/>
      <c r="S1" s="28" t="s">
        <v>4</v>
      </c>
      <c r="T1" s="28" t="s">
        <v>33</v>
      </c>
      <c r="U1" s="28"/>
      <c r="V1" s="28"/>
      <c r="W1" s="28"/>
      <c r="X1" s="28" t="s">
        <v>5</v>
      </c>
      <c r="Y1" s="28" t="s">
        <v>6</v>
      </c>
      <c r="Z1" s="28" t="s">
        <v>7</v>
      </c>
      <c r="AA1" s="28" t="s">
        <v>8</v>
      </c>
      <c r="AB1" s="28"/>
      <c r="AC1" s="28"/>
      <c r="AD1" s="28"/>
      <c r="AE1" s="28"/>
      <c r="AF1" s="28"/>
      <c r="AG1" s="28" t="s">
        <v>10</v>
      </c>
      <c r="AH1" s="28" t="s">
        <v>9</v>
      </c>
      <c r="AI1" s="28" t="s">
        <v>11</v>
      </c>
      <c r="AJ1" s="28"/>
      <c r="AK1" s="28"/>
      <c r="AL1" s="28"/>
      <c r="AM1" s="28"/>
      <c r="AN1" s="28"/>
    </row>
    <row r="2" spans="1:40" ht="16.5" hidden="1" customHeight="1" x14ac:dyDescent="0.45">
      <c r="A2" s="30"/>
      <c r="B2" s="30"/>
      <c r="C2" s="30" t="s">
        <v>109</v>
      </c>
      <c r="D2" s="30"/>
      <c r="E2" s="31" t="s">
        <v>51</v>
      </c>
      <c r="F2" s="32"/>
      <c r="G2" s="30" t="s">
        <v>150</v>
      </c>
      <c r="H2" s="30"/>
      <c r="I2" s="30"/>
      <c r="J2" s="30"/>
      <c r="K2" s="30"/>
      <c r="L2" s="30"/>
      <c r="M2" s="30" t="s">
        <v>110</v>
      </c>
      <c r="N2" s="30"/>
      <c r="O2" s="30"/>
      <c r="P2" s="30" t="s">
        <v>12</v>
      </c>
      <c r="Q2" s="30"/>
      <c r="R2" s="30"/>
      <c r="S2" s="30" t="s">
        <v>49</v>
      </c>
      <c r="T2" s="30" t="s">
        <v>50</v>
      </c>
      <c r="U2" s="30"/>
      <c r="V2" s="30"/>
      <c r="W2" s="30"/>
      <c r="X2" s="30" t="s">
        <v>14</v>
      </c>
      <c r="Y2" s="33" t="s">
        <v>166</v>
      </c>
      <c r="Z2" s="34">
        <v>6573663695.5699997</v>
      </c>
      <c r="AA2" s="30" t="s">
        <v>13</v>
      </c>
      <c r="AB2" s="34"/>
      <c r="AC2" s="31"/>
      <c r="AD2" s="30"/>
      <c r="AE2" s="31"/>
      <c r="AF2" s="30"/>
      <c r="AG2" s="35">
        <v>0.13</v>
      </c>
      <c r="AH2" s="30">
        <v>0.12</v>
      </c>
      <c r="AI2" s="34">
        <v>0.14000000000000001</v>
      </c>
      <c r="AJ2" s="34"/>
      <c r="AK2" s="30"/>
      <c r="AL2" s="30"/>
      <c r="AM2" s="30"/>
      <c r="AN2" s="30"/>
    </row>
    <row r="3" spans="1:40" ht="16.5" hidden="1" customHeight="1" x14ac:dyDescent="0.45">
      <c r="A3" s="30"/>
      <c r="B3" s="30"/>
      <c r="C3" s="30" t="s">
        <v>111</v>
      </c>
      <c r="D3" s="30"/>
      <c r="E3" s="31" t="s">
        <v>51</v>
      </c>
      <c r="F3" s="32"/>
      <c r="G3" s="30" t="s">
        <v>150</v>
      </c>
      <c r="H3" s="30"/>
      <c r="I3" s="30"/>
      <c r="J3" s="30"/>
      <c r="K3" s="30"/>
      <c r="L3" s="30"/>
      <c r="M3" s="30" t="s">
        <v>110</v>
      </c>
      <c r="N3" s="30"/>
      <c r="O3" s="30"/>
      <c r="P3" s="30" t="s">
        <v>12</v>
      </c>
      <c r="Q3" s="30"/>
      <c r="R3" s="30"/>
      <c r="S3" s="30" t="s">
        <v>49</v>
      </c>
      <c r="T3" s="30" t="s">
        <v>50</v>
      </c>
      <c r="U3" s="30"/>
      <c r="V3" s="30"/>
      <c r="W3" s="30"/>
      <c r="X3" s="30" t="s">
        <v>43</v>
      </c>
      <c r="Y3" s="33" t="s">
        <v>166</v>
      </c>
      <c r="Z3" s="34">
        <v>6573663682.5200005</v>
      </c>
      <c r="AA3" s="30" t="s">
        <v>13</v>
      </c>
      <c r="AB3" s="34"/>
      <c r="AC3" s="31"/>
      <c r="AD3" s="30"/>
      <c r="AE3" s="31"/>
      <c r="AF3" s="30"/>
      <c r="AG3" s="35">
        <v>0.13</v>
      </c>
      <c r="AH3" s="30">
        <v>0.12</v>
      </c>
      <c r="AI3" s="34">
        <v>0.14000000000000001</v>
      </c>
      <c r="AJ3" s="34"/>
      <c r="AK3" s="30"/>
      <c r="AL3" s="30"/>
      <c r="AM3" s="30"/>
      <c r="AN3" s="30"/>
    </row>
    <row r="4" spans="1:40" ht="16.5" hidden="1" customHeight="1" x14ac:dyDescent="0.45">
      <c r="A4" s="30"/>
      <c r="B4" s="30"/>
      <c r="C4" s="30" t="s">
        <v>99</v>
      </c>
      <c r="D4" s="30"/>
      <c r="E4" s="31" t="s">
        <v>51</v>
      </c>
      <c r="F4" s="32"/>
      <c r="G4" s="30" t="s">
        <v>150</v>
      </c>
      <c r="H4" s="30"/>
      <c r="I4" s="30"/>
      <c r="J4" s="30"/>
      <c r="K4" s="30"/>
      <c r="L4" s="30"/>
      <c r="M4" s="30" t="s">
        <v>100</v>
      </c>
      <c r="N4" s="30"/>
      <c r="O4" s="30"/>
      <c r="P4" s="30" t="s">
        <v>12</v>
      </c>
      <c r="Q4" s="30"/>
      <c r="R4" s="30"/>
      <c r="S4" s="30" t="s">
        <v>49</v>
      </c>
      <c r="T4" s="30" t="s">
        <v>50</v>
      </c>
      <c r="U4" s="30"/>
      <c r="V4" s="30"/>
      <c r="W4" s="30"/>
      <c r="X4" s="30" t="s">
        <v>14</v>
      </c>
      <c r="Y4" s="33" t="s">
        <v>166</v>
      </c>
      <c r="Z4" s="34">
        <v>5657663695.5699997</v>
      </c>
      <c r="AA4" s="30" t="s">
        <v>13</v>
      </c>
      <c r="AB4" s="34"/>
      <c r="AC4" s="31"/>
      <c r="AD4" s="30"/>
      <c r="AE4" s="31"/>
      <c r="AF4" s="30"/>
      <c r="AG4" s="35">
        <v>0.13</v>
      </c>
      <c r="AH4" s="30">
        <v>0.12</v>
      </c>
      <c r="AI4" s="34">
        <v>0.14000000000000001</v>
      </c>
      <c r="AJ4" s="34"/>
      <c r="AK4" s="30"/>
      <c r="AL4" s="30"/>
      <c r="AM4" s="30"/>
      <c r="AN4" s="30"/>
    </row>
    <row r="5" spans="1:40" ht="16.5" hidden="1" customHeight="1" x14ac:dyDescent="0.45">
      <c r="A5" s="30"/>
      <c r="B5" s="30"/>
      <c r="C5" s="30" t="s">
        <v>101</v>
      </c>
      <c r="D5" s="30"/>
      <c r="E5" s="31" t="s">
        <v>51</v>
      </c>
      <c r="F5" s="32"/>
      <c r="G5" s="30" t="s">
        <v>150</v>
      </c>
      <c r="H5" s="30"/>
      <c r="I5" s="30"/>
      <c r="J5" s="30"/>
      <c r="K5" s="30"/>
      <c r="L5" s="30"/>
      <c r="M5" s="30" t="s">
        <v>102</v>
      </c>
      <c r="N5" s="30"/>
      <c r="O5" s="30"/>
      <c r="P5" s="30" t="s">
        <v>12</v>
      </c>
      <c r="Q5" s="30"/>
      <c r="R5" s="30"/>
      <c r="S5" s="30" t="s">
        <v>49</v>
      </c>
      <c r="T5" s="30" t="s">
        <v>50</v>
      </c>
      <c r="U5" s="30"/>
      <c r="V5" s="30"/>
      <c r="W5" s="30"/>
      <c r="X5" s="30" t="s">
        <v>43</v>
      </c>
      <c r="Y5" s="33" t="s">
        <v>166</v>
      </c>
      <c r="Z5" s="34">
        <v>5657663682.5200005</v>
      </c>
      <c r="AA5" s="30" t="s">
        <v>13</v>
      </c>
      <c r="AB5" s="34"/>
      <c r="AC5" s="31"/>
      <c r="AD5" s="30"/>
      <c r="AE5" s="31"/>
      <c r="AF5" s="30"/>
      <c r="AG5" s="35">
        <v>0.13</v>
      </c>
      <c r="AH5" s="30">
        <v>0.12</v>
      </c>
      <c r="AI5" s="34">
        <v>0.14000000000000001</v>
      </c>
      <c r="AJ5" s="34"/>
      <c r="AK5" s="30"/>
      <c r="AL5" s="30"/>
      <c r="AM5" s="30"/>
      <c r="AN5" s="30"/>
    </row>
    <row r="6" spans="1:40" ht="16.5" hidden="1" customHeight="1" x14ac:dyDescent="0.45">
      <c r="A6" s="30"/>
      <c r="B6" s="30"/>
      <c r="C6" s="30" t="s">
        <v>95</v>
      </c>
      <c r="D6" s="30"/>
      <c r="E6" s="31" t="s">
        <v>51</v>
      </c>
      <c r="F6" s="32"/>
      <c r="G6" s="30" t="s">
        <v>150</v>
      </c>
      <c r="H6" s="30"/>
      <c r="I6" s="30"/>
      <c r="J6" s="30"/>
      <c r="K6" s="30"/>
      <c r="L6" s="30"/>
      <c r="M6" s="30" t="s">
        <v>92</v>
      </c>
      <c r="N6" s="30"/>
      <c r="O6" s="30"/>
      <c r="P6" s="30" t="s">
        <v>12</v>
      </c>
      <c r="Q6" s="30"/>
      <c r="R6" s="30"/>
      <c r="S6" s="30" t="s">
        <v>49</v>
      </c>
      <c r="T6" s="30" t="s">
        <v>50</v>
      </c>
      <c r="U6" s="30"/>
      <c r="V6" s="30"/>
      <c r="W6" s="30"/>
      <c r="X6" s="30" t="s">
        <v>43</v>
      </c>
      <c r="Y6" s="33" t="s">
        <v>166</v>
      </c>
      <c r="Z6" s="34">
        <v>5650090520.3999996</v>
      </c>
      <c r="AA6" s="30" t="s">
        <v>13</v>
      </c>
      <c r="AB6" s="34"/>
      <c r="AC6" s="31"/>
      <c r="AD6" s="30"/>
      <c r="AE6" s="31"/>
      <c r="AF6" s="30"/>
      <c r="AG6" s="35">
        <v>0.13</v>
      </c>
      <c r="AH6" s="30">
        <v>0.12</v>
      </c>
      <c r="AI6" s="34">
        <v>0.14000000000000001</v>
      </c>
      <c r="AJ6" s="34"/>
      <c r="AK6" s="30"/>
      <c r="AL6" s="30"/>
      <c r="AM6" s="30"/>
      <c r="AN6" s="30"/>
    </row>
    <row r="7" spans="1:40" ht="16.5" hidden="1" customHeight="1" x14ac:dyDescent="0.45">
      <c r="A7" s="30"/>
      <c r="B7" s="30"/>
      <c r="C7" s="30" t="s">
        <v>93</v>
      </c>
      <c r="D7" s="30"/>
      <c r="E7" s="31" t="s">
        <v>51</v>
      </c>
      <c r="F7" s="32"/>
      <c r="G7" s="30" t="s">
        <v>150</v>
      </c>
      <c r="H7" s="30"/>
      <c r="I7" s="30"/>
      <c r="J7" s="30"/>
      <c r="K7" s="30"/>
      <c r="L7" s="30"/>
      <c r="M7" s="30" t="s">
        <v>94</v>
      </c>
      <c r="N7" s="30"/>
      <c r="O7" s="30"/>
      <c r="P7" s="30" t="s">
        <v>12</v>
      </c>
      <c r="Q7" s="30"/>
      <c r="R7" s="30"/>
      <c r="S7" s="30" t="s">
        <v>49</v>
      </c>
      <c r="T7" s="30" t="s">
        <v>50</v>
      </c>
      <c r="U7" s="30"/>
      <c r="V7" s="30"/>
      <c r="W7" s="30"/>
      <c r="X7" s="30" t="s">
        <v>14</v>
      </c>
      <c r="Y7" s="33" t="s">
        <v>166</v>
      </c>
      <c r="Z7" s="34">
        <v>5620142875.8599997</v>
      </c>
      <c r="AA7" s="30" t="s">
        <v>13</v>
      </c>
      <c r="AB7" s="34"/>
      <c r="AC7" s="31"/>
      <c r="AD7" s="30"/>
      <c r="AE7" s="31"/>
      <c r="AF7" s="30"/>
      <c r="AG7" s="35">
        <v>0.13</v>
      </c>
      <c r="AH7" s="30">
        <v>0.12</v>
      </c>
      <c r="AI7" s="34">
        <v>0.14000000000000001</v>
      </c>
      <c r="AJ7" s="34"/>
      <c r="AK7" s="30"/>
      <c r="AL7" s="30"/>
      <c r="AM7" s="30"/>
      <c r="AN7" s="30"/>
    </row>
    <row r="8" spans="1:40" ht="16.5" hidden="1" customHeight="1" x14ac:dyDescent="0.45">
      <c r="A8" s="30"/>
      <c r="B8" s="30"/>
      <c r="C8" s="30" t="s">
        <v>89</v>
      </c>
      <c r="D8" s="30"/>
      <c r="E8" s="31" t="s">
        <v>51</v>
      </c>
      <c r="F8" s="32"/>
      <c r="G8" s="30" t="s">
        <v>150</v>
      </c>
      <c r="H8" s="30"/>
      <c r="I8" s="30"/>
      <c r="J8" s="30"/>
      <c r="K8" s="30"/>
      <c r="L8" s="30"/>
      <c r="M8" s="30" t="s">
        <v>90</v>
      </c>
      <c r="N8" s="30"/>
      <c r="O8" s="30"/>
      <c r="P8" s="30" t="s">
        <v>12</v>
      </c>
      <c r="Q8" s="30"/>
      <c r="R8" s="30"/>
      <c r="S8" s="30" t="s">
        <v>49</v>
      </c>
      <c r="T8" s="30" t="s">
        <v>50</v>
      </c>
      <c r="U8" s="30"/>
      <c r="V8" s="30"/>
      <c r="W8" s="30"/>
      <c r="X8" s="30" t="s">
        <v>14</v>
      </c>
      <c r="Y8" s="33" t="s">
        <v>166</v>
      </c>
      <c r="Z8" s="34">
        <v>1798295004.6800001</v>
      </c>
      <c r="AA8" s="30" t="s">
        <v>13</v>
      </c>
      <c r="AB8" s="34"/>
      <c r="AC8" s="31"/>
      <c r="AD8" s="30"/>
      <c r="AE8" s="31"/>
      <c r="AF8" s="30"/>
      <c r="AG8" s="35">
        <v>0.13</v>
      </c>
      <c r="AH8" s="30">
        <v>0.12</v>
      </c>
      <c r="AI8" s="34">
        <v>0.14000000000000001</v>
      </c>
      <c r="AJ8" s="34"/>
      <c r="AK8" s="30"/>
      <c r="AL8" s="30"/>
      <c r="AM8" s="30"/>
      <c r="AN8" s="30"/>
    </row>
    <row r="9" spans="1:40" ht="16.5" hidden="1" customHeight="1" x14ac:dyDescent="0.45">
      <c r="A9" s="30"/>
      <c r="B9" s="30"/>
      <c r="C9" s="30" t="s">
        <v>91</v>
      </c>
      <c r="D9" s="30"/>
      <c r="E9" s="31" t="s">
        <v>51</v>
      </c>
      <c r="F9" s="32"/>
      <c r="G9" s="30" t="s">
        <v>150</v>
      </c>
      <c r="H9" s="30"/>
      <c r="I9" s="30"/>
      <c r="J9" s="30"/>
      <c r="K9" s="30"/>
      <c r="L9" s="30"/>
      <c r="M9" s="30" t="s">
        <v>90</v>
      </c>
      <c r="N9" s="30"/>
      <c r="O9" s="30"/>
      <c r="P9" s="30" t="s">
        <v>12</v>
      </c>
      <c r="Q9" s="30"/>
      <c r="R9" s="30"/>
      <c r="S9" s="30" t="s">
        <v>49</v>
      </c>
      <c r="T9" s="30" t="s">
        <v>50</v>
      </c>
      <c r="U9" s="30"/>
      <c r="V9" s="30"/>
      <c r="W9" s="30"/>
      <c r="X9" s="30" t="s">
        <v>43</v>
      </c>
      <c r="Y9" s="33" t="s">
        <v>166</v>
      </c>
      <c r="Z9" s="34">
        <v>1798295004.6800001</v>
      </c>
      <c r="AA9" s="30" t="s">
        <v>13</v>
      </c>
      <c r="AB9" s="34"/>
      <c r="AC9" s="31"/>
      <c r="AD9" s="30"/>
      <c r="AE9" s="31"/>
      <c r="AF9" s="30"/>
      <c r="AG9" s="35">
        <v>0.13</v>
      </c>
      <c r="AH9" s="30">
        <v>0.12</v>
      </c>
      <c r="AI9" s="34">
        <v>0.14000000000000001</v>
      </c>
      <c r="AJ9" s="34"/>
      <c r="AK9" s="30"/>
      <c r="AL9" s="30"/>
      <c r="AM9" s="30"/>
      <c r="AN9" s="30"/>
    </row>
    <row r="10" spans="1:40" ht="16.5" hidden="1" customHeight="1" x14ac:dyDescent="0.45">
      <c r="A10" s="30"/>
      <c r="B10" s="30"/>
      <c r="C10" s="30" t="s">
        <v>84</v>
      </c>
      <c r="D10" s="30"/>
      <c r="E10" s="31" t="s">
        <v>51</v>
      </c>
      <c r="F10" s="32"/>
      <c r="G10" s="30" t="s">
        <v>150</v>
      </c>
      <c r="H10" s="30"/>
      <c r="I10" s="30"/>
      <c r="J10" s="30"/>
      <c r="K10" s="30"/>
      <c r="L10" s="30"/>
      <c r="M10" s="30" t="s">
        <v>85</v>
      </c>
      <c r="N10" s="30"/>
      <c r="O10" s="30"/>
      <c r="P10" s="30" t="s">
        <v>12</v>
      </c>
      <c r="Q10" s="30"/>
      <c r="R10" s="30"/>
      <c r="S10" s="30" t="s">
        <v>49</v>
      </c>
      <c r="T10" s="30" t="s">
        <v>50</v>
      </c>
      <c r="U10" s="30"/>
      <c r="V10" s="30"/>
      <c r="W10" s="30"/>
      <c r="X10" s="30" t="s">
        <v>43</v>
      </c>
      <c r="Y10" s="33" t="s">
        <v>166</v>
      </c>
      <c r="Z10" s="34">
        <v>1340295004.6800001</v>
      </c>
      <c r="AA10" s="30" t="s">
        <v>13</v>
      </c>
      <c r="AB10" s="34"/>
      <c r="AC10" s="31"/>
      <c r="AD10" s="30"/>
      <c r="AE10" s="31"/>
      <c r="AF10" s="30"/>
      <c r="AG10" s="35">
        <v>0.13</v>
      </c>
      <c r="AH10" s="30">
        <v>0.12</v>
      </c>
      <c r="AI10" s="34">
        <v>0.14000000000000001</v>
      </c>
      <c r="AJ10" s="34"/>
      <c r="AK10" s="30"/>
      <c r="AL10" s="30"/>
      <c r="AM10" s="30"/>
      <c r="AN10" s="30"/>
    </row>
    <row r="11" spans="1:40" ht="16.5" hidden="1" customHeight="1" x14ac:dyDescent="0.45">
      <c r="A11" s="30"/>
      <c r="B11" s="30"/>
      <c r="C11" s="30" t="s">
        <v>63</v>
      </c>
      <c r="D11" s="30"/>
      <c r="E11" s="31" t="s">
        <v>51</v>
      </c>
      <c r="F11" s="32"/>
      <c r="G11" s="30" t="s">
        <v>150</v>
      </c>
      <c r="H11" s="30"/>
      <c r="I11" s="30"/>
      <c r="J11" s="30"/>
      <c r="K11" s="30"/>
      <c r="L11" s="30"/>
      <c r="M11" s="30" t="s">
        <v>62</v>
      </c>
      <c r="N11" s="30"/>
      <c r="O11" s="30"/>
      <c r="P11" s="30" t="s">
        <v>12</v>
      </c>
      <c r="Q11" s="30"/>
      <c r="R11" s="30"/>
      <c r="S11" s="30" t="s">
        <v>44</v>
      </c>
      <c r="T11" s="30" t="s">
        <v>46</v>
      </c>
      <c r="U11" s="30"/>
      <c r="V11" s="30"/>
      <c r="W11" s="30"/>
      <c r="X11" s="30" t="s">
        <v>14</v>
      </c>
      <c r="Y11" s="33" t="s">
        <v>166</v>
      </c>
      <c r="Z11" s="34">
        <v>1250847335.47</v>
      </c>
      <c r="AA11" s="30" t="s">
        <v>13</v>
      </c>
      <c r="AB11" s="34"/>
      <c r="AC11" s="31"/>
      <c r="AD11" s="30"/>
      <c r="AE11" s="31"/>
      <c r="AF11" s="30"/>
      <c r="AG11" s="35">
        <v>0.13</v>
      </c>
      <c r="AH11" s="30">
        <v>0.12</v>
      </c>
      <c r="AI11" s="34">
        <v>0.14000000000000001</v>
      </c>
      <c r="AJ11" s="34"/>
      <c r="AK11" s="30"/>
      <c r="AL11" s="30"/>
      <c r="AM11" s="30"/>
      <c r="AN11" s="30"/>
    </row>
    <row r="12" spans="1:40" ht="16.5" hidden="1" customHeight="1" x14ac:dyDescent="0.45">
      <c r="A12" s="30"/>
      <c r="B12" s="30"/>
      <c r="C12" s="30" t="s">
        <v>64</v>
      </c>
      <c r="D12" s="30"/>
      <c r="E12" s="31" t="s">
        <v>51</v>
      </c>
      <c r="F12" s="32"/>
      <c r="G12" s="30" t="s">
        <v>150</v>
      </c>
      <c r="H12" s="30"/>
      <c r="I12" s="30"/>
      <c r="J12" s="30"/>
      <c r="K12" s="30"/>
      <c r="L12" s="30"/>
      <c r="M12" s="30" t="s">
        <v>65</v>
      </c>
      <c r="N12" s="30"/>
      <c r="O12" s="30"/>
      <c r="P12" s="30" t="s">
        <v>12</v>
      </c>
      <c r="Q12" s="30"/>
      <c r="R12" s="30"/>
      <c r="S12" s="30" t="s">
        <v>49</v>
      </c>
      <c r="T12" s="30" t="s">
        <v>50</v>
      </c>
      <c r="U12" s="30"/>
      <c r="V12" s="30"/>
      <c r="W12" s="30"/>
      <c r="X12" s="30" t="s">
        <v>14</v>
      </c>
      <c r="Y12" s="33" t="s">
        <v>166</v>
      </c>
      <c r="Z12" s="34">
        <v>1250847335.47</v>
      </c>
      <c r="AA12" s="30" t="s">
        <v>13</v>
      </c>
      <c r="AB12" s="34"/>
      <c r="AC12" s="31"/>
      <c r="AD12" s="30"/>
      <c r="AE12" s="31"/>
      <c r="AF12" s="30"/>
      <c r="AG12" s="35">
        <v>0.13</v>
      </c>
      <c r="AH12" s="30">
        <v>0.12</v>
      </c>
      <c r="AI12" s="34">
        <v>0.14000000000000001</v>
      </c>
      <c r="AJ12" s="34"/>
      <c r="AK12" s="30"/>
      <c r="AL12" s="30"/>
      <c r="AM12" s="30"/>
      <c r="AN12" s="30"/>
    </row>
    <row r="13" spans="1:40" ht="16.5" hidden="1" customHeight="1" x14ac:dyDescent="0.45">
      <c r="A13" s="30"/>
      <c r="B13" s="30"/>
      <c r="C13" s="30" t="s">
        <v>103</v>
      </c>
      <c r="D13" s="30"/>
      <c r="E13" s="31" t="s">
        <v>51</v>
      </c>
      <c r="F13" s="32"/>
      <c r="G13" s="30" t="s">
        <v>150</v>
      </c>
      <c r="H13" s="30"/>
      <c r="I13" s="30"/>
      <c r="J13" s="30"/>
      <c r="K13" s="30"/>
      <c r="L13" s="30"/>
      <c r="M13" s="30" t="s">
        <v>100</v>
      </c>
      <c r="N13" s="30"/>
      <c r="O13" s="30"/>
      <c r="P13" s="30" t="s">
        <v>12</v>
      </c>
      <c r="Q13" s="30"/>
      <c r="R13" s="30"/>
      <c r="S13" s="30" t="s">
        <v>49</v>
      </c>
      <c r="T13" s="30" t="s">
        <v>50</v>
      </c>
      <c r="U13" s="30"/>
      <c r="V13" s="30"/>
      <c r="W13" s="30"/>
      <c r="X13" s="30" t="s">
        <v>14</v>
      </c>
      <c r="Y13" s="33" t="s">
        <v>166</v>
      </c>
      <c r="Z13" s="34">
        <v>916000000</v>
      </c>
      <c r="AA13" s="30" t="s">
        <v>13</v>
      </c>
      <c r="AB13" s="34"/>
      <c r="AC13" s="31"/>
      <c r="AD13" s="30"/>
      <c r="AE13" s="31"/>
      <c r="AF13" s="30"/>
      <c r="AG13" s="35">
        <v>0.13</v>
      </c>
      <c r="AH13" s="30">
        <v>0.12</v>
      </c>
      <c r="AI13" s="34">
        <v>0.14000000000000001</v>
      </c>
      <c r="AJ13" s="34"/>
      <c r="AK13" s="30"/>
      <c r="AL13" s="30"/>
      <c r="AM13" s="30"/>
      <c r="AN13" s="30"/>
    </row>
    <row r="14" spans="1:40" ht="16.5" hidden="1" customHeight="1" x14ac:dyDescent="0.45">
      <c r="A14" s="30"/>
      <c r="B14" s="30"/>
      <c r="C14" s="30" t="s">
        <v>104</v>
      </c>
      <c r="D14" s="30"/>
      <c r="E14" s="31" t="s">
        <v>51</v>
      </c>
      <c r="F14" s="32"/>
      <c r="G14" s="30" t="s">
        <v>150</v>
      </c>
      <c r="H14" s="30"/>
      <c r="I14" s="30"/>
      <c r="J14" s="30"/>
      <c r="K14" s="30"/>
      <c r="L14" s="30"/>
      <c r="M14" s="30" t="s">
        <v>102</v>
      </c>
      <c r="N14" s="30"/>
      <c r="O14" s="30"/>
      <c r="P14" s="30" t="s">
        <v>12</v>
      </c>
      <c r="Q14" s="30"/>
      <c r="R14" s="30"/>
      <c r="S14" s="30" t="s">
        <v>49</v>
      </c>
      <c r="T14" s="30" t="s">
        <v>50</v>
      </c>
      <c r="U14" s="30"/>
      <c r="V14" s="30"/>
      <c r="W14" s="30"/>
      <c r="X14" s="30" t="s">
        <v>43</v>
      </c>
      <c r="Y14" s="33" t="s">
        <v>166</v>
      </c>
      <c r="Z14" s="34">
        <v>916000000</v>
      </c>
      <c r="AA14" s="30" t="s">
        <v>13</v>
      </c>
      <c r="AB14" s="34"/>
      <c r="AC14" s="31"/>
      <c r="AD14" s="30"/>
      <c r="AE14" s="31"/>
      <c r="AF14" s="30"/>
      <c r="AG14" s="35">
        <v>0.13</v>
      </c>
      <c r="AH14" s="30">
        <v>0.12</v>
      </c>
      <c r="AI14" s="34">
        <v>0.14000000000000001</v>
      </c>
      <c r="AJ14" s="34"/>
      <c r="AK14" s="30"/>
      <c r="AL14" s="30"/>
      <c r="AM14" s="30"/>
      <c r="AN14" s="30"/>
    </row>
    <row r="15" spans="1:40" ht="16.5" hidden="1" customHeight="1" x14ac:dyDescent="0.45">
      <c r="A15" s="30"/>
      <c r="B15" s="30"/>
      <c r="C15" s="30" t="s">
        <v>87</v>
      </c>
      <c r="D15" s="30"/>
      <c r="E15" s="31" t="s">
        <v>51</v>
      </c>
      <c r="F15" s="32"/>
      <c r="G15" s="30" t="s">
        <v>150</v>
      </c>
      <c r="H15" s="30"/>
      <c r="I15" s="30"/>
      <c r="J15" s="30"/>
      <c r="K15" s="30"/>
      <c r="L15" s="30"/>
      <c r="M15" s="30" t="s">
        <v>65</v>
      </c>
      <c r="N15" s="30"/>
      <c r="O15" s="30"/>
      <c r="P15" s="30" t="s">
        <v>12</v>
      </c>
      <c r="Q15" s="30"/>
      <c r="R15" s="30"/>
      <c r="S15" s="30" t="s">
        <v>49</v>
      </c>
      <c r="T15" s="30" t="s">
        <v>50</v>
      </c>
      <c r="U15" s="30"/>
      <c r="V15" s="30"/>
      <c r="W15" s="30"/>
      <c r="X15" s="30" t="s">
        <v>14</v>
      </c>
      <c r="Y15" s="33" t="s">
        <v>166</v>
      </c>
      <c r="Z15" s="34">
        <v>458000000</v>
      </c>
      <c r="AA15" s="30" t="s">
        <v>13</v>
      </c>
      <c r="AB15" s="34"/>
      <c r="AC15" s="31"/>
      <c r="AD15" s="30"/>
      <c r="AE15" s="31"/>
      <c r="AF15" s="30"/>
      <c r="AG15" s="35">
        <v>0.13</v>
      </c>
      <c r="AH15" s="30">
        <v>0.12</v>
      </c>
      <c r="AI15" s="34">
        <v>0.14000000000000001</v>
      </c>
      <c r="AJ15" s="34"/>
      <c r="AK15" s="30"/>
      <c r="AL15" s="30"/>
      <c r="AM15" s="30"/>
      <c r="AN15" s="30"/>
    </row>
    <row r="16" spans="1:40" ht="16.5" hidden="1" customHeight="1" x14ac:dyDescent="0.45">
      <c r="A16" s="30"/>
      <c r="B16" s="30"/>
      <c r="C16" s="30" t="s">
        <v>88</v>
      </c>
      <c r="D16" s="30"/>
      <c r="E16" s="31" t="s">
        <v>51</v>
      </c>
      <c r="F16" s="32"/>
      <c r="G16" s="30" t="s">
        <v>150</v>
      </c>
      <c r="H16" s="30"/>
      <c r="I16" s="30"/>
      <c r="J16" s="30"/>
      <c r="K16" s="30"/>
      <c r="L16" s="30"/>
      <c r="M16" s="30" t="s">
        <v>85</v>
      </c>
      <c r="N16" s="30"/>
      <c r="O16" s="30"/>
      <c r="P16" s="30" t="s">
        <v>12</v>
      </c>
      <c r="Q16" s="30"/>
      <c r="R16" s="30"/>
      <c r="S16" s="30" t="s">
        <v>49</v>
      </c>
      <c r="T16" s="30" t="s">
        <v>50</v>
      </c>
      <c r="U16" s="30"/>
      <c r="V16" s="30"/>
      <c r="W16" s="30"/>
      <c r="X16" s="30" t="s">
        <v>43</v>
      </c>
      <c r="Y16" s="33" t="s">
        <v>166</v>
      </c>
      <c r="Z16" s="34">
        <v>458000000</v>
      </c>
      <c r="AA16" s="30" t="s">
        <v>13</v>
      </c>
      <c r="AB16" s="34"/>
      <c r="AC16" s="31"/>
      <c r="AD16" s="30"/>
      <c r="AE16" s="31"/>
      <c r="AF16" s="30"/>
      <c r="AG16" s="35">
        <v>0.13</v>
      </c>
      <c r="AH16" s="30">
        <v>0.12</v>
      </c>
      <c r="AI16" s="34">
        <v>0.14000000000000001</v>
      </c>
      <c r="AJ16" s="34"/>
      <c r="AK16" s="30"/>
      <c r="AL16" s="30"/>
      <c r="AM16" s="30"/>
      <c r="AN16" s="30"/>
    </row>
    <row r="17" spans="1:40" ht="16.5" hidden="1" customHeight="1" x14ac:dyDescent="0.45">
      <c r="A17" s="30"/>
      <c r="B17" s="30"/>
      <c r="C17" s="30" t="s">
        <v>73</v>
      </c>
      <c r="D17" s="30"/>
      <c r="E17" s="31" t="s">
        <v>51</v>
      </c>
      <c r="F17" s="32"/>
      <c r="G17" s="30" t="s">
        <v>150</v>
      </c>
      <c r="H17" s="30"/>
      <c r="I17" s="30"/>
      <c r="J17" s="30"/>
      <c r="K17" s="30"/>
      <c r="L17" s="30"/>
      <c r="M17" s="30" t="s">
        <v>72</v>
      </c>
      <c r="N17" s="30"/>
      <c r="O17" s="30"/>
      <c r="P17" s="30" t="s">
        <v>12</v>
      </c>
      <c r="Q17" s="30"/>
      <c r="R17" s="30"/>
      <c r="S17" s="30" t="s">
        <v>44</v>
      </c>
      <c r="T17" s="30" t="s">
        <v>46</v>
      </c>
      <c r="U17" s="30"/>
      <c r="V17" s="30"/>
      <c r="W17" s="30"/>
      <c r="X17" s="30" t="s">
        <v>43</v>
      </c>
      <c r="Y17" s="33" t="s">
        <v>166</v>
      </c>
      <c r="Z17" s="34">
        <v>375447552.19</v>
      </c>
      <c r="AA17" s="30" t="s">
        <v>13</v>
      </c>
      <c r="AB17" s="34"/>
      <c r="AC17" s="31"/>
      <c r="AD17" s="30"/>
      <c r="AE17" s="31"/>
      <c r="AF17" s="30"/>
      <c r="AG17" s="35">
        <v>0.13</v>
      </c>
      <c r="AH17" s="30">
        <v>0.12</v>
      </c>
      <c r="AI17" s="34">
        <v>0.14000000000000001</v>
      </c>
      <c r="AJ17" s="34"/>
      <c r="AK17" s="30"/>
      <c r="AL17" s="30"/>
      <c r="AM17" s="30"/>
      <c r="AN17" s="30"/>
    </row>
    <row r="18" spans="1:40" ht="14.25" hidden="1" customHeight="1" x14ac:dyDescent="0.45">
      <c r="A18" s="30"/>
      <c r="B18" s="30"/>
      <c r="C18" s="30" t="s">
        <v>74</v>
      </c>
      <c r="D18" s="30"/>
      <c r="E18" s="31" t="s">
        <v>51</v>
      </c>
      <c r="F18" s="32"/>
      <c r="G18" s="30" t="s">
        <v>150</v>
      </c>
      <c r="H18" s="30"/>
      <c r="I18" s="30"/>
      <c r="J18" s="30"/>
      <c r="K18" s="30"/>
      <c r="L18" s="30"/>
      <c r="M18" s="30" t="s">
        <v>55</v>
      </c>
      <c r="N18" s="30"/>
      <c r="O18" s="30"/>
      <c r="P18" s="30" t="s">
        <v>12</v>
      </c>
      <c r="Q18" s="30"/>
      <c r="R18" s="30"/>
      <c r="S18" s="30" t="s">
        <v>49</v>
      </c>
      <c r="T18" s="30" t="s">
        <v>50</v>
      </c>
      <c r="U18" s="30"/>
      <c r="V18" s="30"/>
      <c r="W18" s="30"/>
      <c r="X18" s="30" t="s">
        <v>43</v>
      </c>
      <c r="Y18" s="33" t="s">
        <v>166</v>
      </c>
      <c r="Z18" s="34">
        <v>375447552.19</v>
      </c>
      <c r="AA18" s="30" t="s">
        <v>13</v>
      </c>
      <c r="AB18" s="34"/>
      <c r="AC18" s="31"/>
      <c r="AD18" s="30"/>
      <c r="AE18" s="31"/>
      <c r="AF18" s="30"/>
      <c r="AG18" s="35">
        <v>0.13</v>
      </c>
      <c r="AH18" s="30">
        <v>0.12</v>
      </c>
      <c r="AI18" s="34">
        <v>0.14000000000000001</v>
      </c>
      <c r="AJ18" s="34"/>
      <c r="AK18" s="30"/>
      <c r="AL18" s="30"/>
      <c r="AM18" s="30"/>
      <c r="AN18" s="30"/>
    </row>
    <row r="19" spans="1:40" ht="16.5" customHeight="1" x14ac:dyDescent="0.45">
      <c r="A19" s="30"/>
      <c r="B19" s="30"/>
      <c r="C19" s="30" t="s">
        <v>121</v>
      </c>
      <c r="D19" s="30"/>
      <c r="E19" s="31" t="s">
        <v>51</v>
      </c>
      <c r="F19" s="32"/>
      <c r="G19" s="30" t="s">
        <v>35</v>
      </c>
      <c r="H19" s="30"/>
      <c r="I19" s="30"/>
      <c r="J19" s="30"/>
      <c r="K19" s="30"/>
      <c r="L19" s="30"/>
      <c r="M19" s="30" t="s">
        <v>122</v>
      </c>
      <c r="N19" s="30"/>
      <c r="O19" s="30"/>
      <c r="P19" s="30" t="s">
        <v>12</v>
      </c>
      <c r="Q19" s="30"/>
      <c r="R19" s="30"/>
      <c r="S19" s="30" t="s">
        <v>155</v>
      </c>
      <c r="T19" s="30" t="s">
        <v>4</v>
      </c>
      <c r="U19" s="30"/>
      <c r="V19" s="30"/>
      <c r="W19" s="30"/>
      <c r="X19" s="30" t="s">
        <v>14</v>
      </c>
      <c r="Y19" s="33" t="s">
        <v>166</v>
      </c>
      <c r="Z19" s="34">
        <v>295468491.5</v>
      </c>
      <c r="AA19" s="30" t="s">
        <v>13</v>
      </c>
      <c r="AB19" s="34"/>
      <c r="AC19" s="31"/>
      <c r="AD19" s="30"/>
      <c r="AE19" s="31"/>
      <c r="AF19" s="30"/>
      <c r="AG19" s="35">
        <v>0.13</v>
      </c>
      <c r="AH19" s="30">
        <v>0.12</v>
      </c>
      <c r="AI19" s="34">
        <v>0.14000000000000001</v>
      </c>
      <c r="AJ19" s="34"/>
      <c r="AK19" s="30"/>
      <c r="AL19" s="30"/>
      <c r="AM19" s="30"/>
      <c r="AN19" s="30"/>
    </row>
    <row r="20" spans="1:40" ht="16.5" hidden="1" customHeight="1" x14ac:dyDescent="0.45">
      <c r="A20" s="30"/>
      <c r="B20" s="30"/>
      <c r="C20" s="30" t="s">
        <v>130</v>
      </c>
      <c r="D20" s="30"/>
      <c r="E20" s="31" t="s">
        <v>51</v>
      </c>
      <c r="F20" s="32"/>
      <c r="G20" s="30" t="s">
        <v>150</v>
      </c>
      <c r="H20" s="30"/>
      <c r="I20" s="30"/>
      <c r="J20" s="30"/>
      <c r="K20" s="30"/>
      <c r="L20" s="30"/>
      <c r="M20" s="30" t="s">
        <v>34</v>
      </c>
      <c r="N20" s="30"/>
      <c r="O20" s="30"/>
      <c r="P20" s="30" t="s">
        <v>12</v>
      </c>
      <c r="Q20" s="30"/>
      <c r="R20" s="30"/>
      <c r="S20" s="30" t="s">
        <v>49</v>
      </c>
      <c r="T20" s="30" t="s">
        <v>50</v>
      </c>
      <c r="U20" s="30"/>
      <c r="V20" s="30"/>
      <c r="W20" s="30"/>
      <c r="X20" s="30" t="s">
        <v>14</v>
      </c>
      <c r="Y20" s="33" t="s">
        <v>166</v>
      </c>
      <c r="Z20" s="34">
        <v>295468491.5</v>
      </c>
      <c r="AA20" s="30" t="s">
        <v>13</v>
      </c>
      <c r="AB20" s="34"/>
      <c r="AC20" s="31"/>
      <c r="AD20" s="30"/>
      <c r="AE20" s="31"/>
      <c r="AF20" s="30"/>
      <c r="AG20" s="35">
        <v>0.13</v>
      </c>
      <c r="AH20" s="30">
        <v>0.12</v>
      </c>
      <c r="AI20" s="34">
        <v>0.14000000000000001</v>
      </c>
      <c r="AJ20" s="34"/>
      <c r="AK20" s="30"/>
      <c r="AL20" s="30"/>
      <c r="AM20" s="30"/>
      <c r="AN20" s="30"/>
    </row>
    <row r="21" spans="1:40" ht="16.5" hidden="1" customHeight="1" x14ac:dyDescent="0.45">
      <c r="A21" s="30"/>
      <c r="B21" s="30"/>
      <c r="C21" s="30" t="s">
        <v>78</v>
      </c>
      <c r="D21" s="30"/>
      <c r="E21" s="31" t="s">
        <v>42</v>
      </c>
      <c r="F21" s="32"/>
      <c r="G21" s="30" t="s">
        <v>150</v>
      </c>
      <c r="H21" s="30"/>
      <c r="I21" s="30"/>
      <c r="J21" s="30"/>
      <c r="K21" s="30"/>
      <c r="L21" s="30"/>
      <c r="M21" s="30" t="s">
        <v>48</v>
      </c>
      <c r="N21" s="30"/>
      <c r="O21" s="30"/>
      <c r="P21" s="30" t="s">
        <v>12</v>
      </c>
      <c r="Q21" s="30"/>
      <c r="R21" s="30"/>
      <c r="S21" s="30" t="s">
        <v>44</v>
      </c>
      <c r="T21" s="30" t="s">
        <v>46</v>
      </c>
      <c r="U21" s="30"/>
      <c r="V21" s="30"/>
      <c r="W21" s="30"/>
      <c r="X21" s="30" t="s">
        <v>14</v>
      </c>
      <c r="Y21" s="33" t="s">
        <v>166</v>
      </c>
      <c r="Z21" s="34">
        <v>247365042.13999999</v>
      </c>
      <c r="AA21" s="30" t="s">
        <v>13</v>
      </c>
      <c r="AB21" s="34"/>
      <c r="AC21" s="31"/>
      <c r="AD21" s="30"/>
      <c r="AE21" s="31"/>
      <c r="AF21" s="30"/>
      <c r="AG21" s="35">
        <v>0.13</v>
      </c>
      <c r="AH21" s="30">
        <v>0.12</v>
      </c>
      <c r="AI21" s="34">
        <v>0.14000000000000001</v>
      </c>
      <c r="AJ21" s="34"/>
      <c r="AK21" s="30"/>
      <c r="AL21" s="30"/>
      <c r="AM21" s="30"/>
      <c r="AN21" s="30"/>
    </row>
    <row r="22" spans="1:40" ht="16.5" hidden="1" customHeight="1" x14ac:dyDescent="0.45">
      <c r="A22" s="30"/>
      <c r="B22" s="30"/>
      <c r="C22" s="30" t="s">
        <v>79</v>
      </c>
      <c r="D22" s="30"/>
      <c r="E22" s="31" t="s">
        <v>51</v>
      </c>
      <c r="F22" s="32"/>
      <c r="G22" s="30" t="s">
        <v>150</v>
      </c>
      <c r="H22" s="30"/>
      <c r="I22" s="30"/>
      <c r="J22" s="30"/>
      <c r="K22" s="30"/>
      <c r="L22" s="30"/>
      <c r="M22" s="30" t="s">
        <v>48</v>
      </c>
      <c r="N22" s="30"/>
      <c r="O22" s="30"/>
      <c r="P22" s="30" t="s">
        <v>12</v>
      </c>
      <c r="Q22" s="30"/>
      <c r="R22" s="30"/>
      <c r="S22" s="30" t="s">
        <v>44</v>
      </c>
      <c r="T22" s="30" t="s">
        <v>46</v>
      </c>
      <c r="U22" s="30"/>
      <c r="V22" s="30"/>
      <c r="W22" s="30"/>
      <c r="X22" s="30" t="s">
        <v>43</v>
      </c>
      <c r="Y22" s="33" t="s">
        <v>166</v>
      </c>
      <c r="Z22" s="34">
        <v>247365042.13999999</v>
      </c>
      <c r="AA22" s="30" t="s">
        <v>13</v>
      </c>
      <c r="AB22" s="34"/>
      <c r="AC22" s="31"/>
      <c r="AD22" s="30"/>
      <c r="AE22" s="31"/>
      <c r="AF22" s="30"/>
      <c r="AG22" s="35">
        <v>0.13</v>
      </c>
      <c r="AH22" s="30">
        <v>0.12</v>
      </c>
      <c r="AI22" s="34">
        <v>0.14000000000000001</v>
      </c>
      <c r="AJ22" s="34"/>
      <c r="AK22" s="30"/>
      <c r="AL22" s="30"/>
      <c r="AM22" s="30"/>
      <c r="AN22" s="30"/>
    </row>
    <row r="23" spans="1:40" ht="16.5" hidden="1" customHeight="1" x14ac:dyDescent="0.45">
      <c r="A23" s="30"/>
      <c r="B23" s="30"/>
      <c r="C23" s="30" t="s">
        <v>80</v>
      </c>
      <c r="D23" s="30"/>
      <c r="E23" s="31" t="s">
        <v>51</v>
      </c>
      <c r="F23" s="32"/>
      <c r="G23" s="30" t="s">
        <v>150</v>
      </c>
      <c r="H23" s="30"/>
      <c r="I23" s="30"/>
      <c r="J23" s="30"/>
      <c r="K23" s="30"/>
      <c r="L23" s="30"/>
      <c r="M23" s="30" t="s">
        <v>55</v>
      </c>
      <c r="N23" s="30"/>
      <c r="O23" s="30"/>
      <c r="P23" s="30" t="s">
        <v>12</v>
      </c>
      <c r="Q23" s="30"/>
      <c r="R23" s="30"/>
      <c r="S23" s="30" t="s">
        <v>49</v>
      </c>
      <c r="T23" s="30" t="s">
        <v>50</v>
      </c>
      <c r="U23" s="30"/>
      <c r="V23" s="30"/>
      <c r="W23" s="30"/>
      <c r="X23" s="30" t="s">
        <v>43</v>
      </c>
      <c r="Y23" s="33" t="s">
        <v>166</v>
      </c>
      <c r="Z23" s="34">
        <v>247365042.13999999</v>
      </c>
      <c r="AA23" s="30" t="s">
        <v>13</v>
      </c>
      <c r="AB23" s="34"/>
      <c r="AC23" s="31"/>
      <c r="AD23" s="30"/>
      <c r="AE23" s="31"/>
      <c r="AF23" s="30"/>
      <c r="AG23" s="35">
        <v>0.13</v>
      </c>
      <c r="AH23" s="30">
        <v>0.12</v>
      </c>
      <c r="AI23" s="34">
        <v>0.14000000000000001</v>
      </c>
      <c r="AJ23" s="34"/>
      <c r="AK23" s="30"/>
      <c r="AL23" s="30"/>
      <c r="AM23" s="30"/>
      <c r="AN23" s="30"/>
    </row>
    <row r="24" spans="1:40" ht="16.5" hidden="1" customHeight="1" x14ac:dyDescent="0.45">
      <c r="A24" s="30"/>
      <c r="B24" s="30"/>
      <c r="C24" s="30" t="s">
        <v>67</v>
      </c>
      <c r="D24" s="30"/>
      <c r="E24" s="31" t="s">
        <v>51</v>
      </c>
      <c r="F24" s="32"/>
      <c r="G24" s="30" t="s">
        <v>150</v>
      </c>
      <c r="H24" s="30"/>
      <c r="I24" s="30"/>
      <c r="J24" s="30"/>
      <c r="K24" s="30"/>
      <c r="L24" s="30"/>
      <c r="M24" s="30" t="s">
        <v>66</v>
      </c>
      <c r="N24" s="30"/>
      <c r="O24" s="30"/>
      <c r="P24" s="30" t="s">
        <v>12</v>
      </c>
      <c r="Q24" s="30"/>
      <c r="R24" s="30"/>
      <c r="S24" s="30" t="s">
        <v>44</v>
      </c>
      <c r="T24" s="30" t="s">
        <v>46</v>
      </c>
      <c r="U24" s="30"/>
      <c r="V24" s="30"/>
      <c r="W24" s="30"/>
      <c r="X24" s="30" t="s">
        <v>43</v>
      </c>
      <c r="Y24" s="33" t="s">
        <v>166</v>
      </c>
      <c r="Z24" s="34">
        <v>235666312.66999999</v>
      </c>
      <c r="AA24" s="30" t="s">
        <v>13</v>
      </c>
      <c r="AB24" s="34"/>
      <c r="AC24" s="31"/>
      <c r="AD24" s="30"/>
      <c r="AE24" s="31"/>
      <c r="AF24" s="30"/>
      <c r="AG24" s="35">
        <v>0.13</v>
      </c>
      <c r="AH24" s="30">
        <v>0.12</v>
      </c>
      <c r="AI24" s="34">
        <v>0.14000000000000001</v>
      </c>
      <c r="AJ24" s="34"/>
      <c r="AK24" s="30"/>
      <c r="AL24" s="30"/>
      <c r="AM24" s="30"/>
      <c r="AN24" s="30"/>
    </row>
    <row r="25" spans="1:40" ht="16.5" hidden="1" customHeight="1" x14ac:dyDescent="0.45">
      <c r="A25" s="30"/>
      <c r="B25" s="30"/>
      <c r="C25" s="30" t="s">
        <v>68</v>
      </c>
      <c r="D25" s="30"/>
      <c r="E25" s="31" t="s">
        <v>51</v>
      </c>
      <c r="F25" s="32"/>
      <c r="G25" s="30" t="s">
        <v>150</v>
      </c>
      <c r="H25" s="30"/>
      <c r="I25" s="30"/>
      <c r="J25" s="30"/>
      <c r="K25" s="30"/>
      <c r="L25" s="30"/>
      <c r="M25" s="30" t="s">
        <v>55</v>
      </c>
      <c r="N25" s="30"/>
      <c r="O25" s="30"/>
      <c r="P25" s="30" t="s">
        <v>12</v>
      </c>
      <c r="Q25" s="30"/>
      <c r="R25" s="30"/>
      <c r="S25" s="30" t="s">
        <v>49</v>
      </c>
      <c r="T25" s="30" t="s">
        <v>50</v>
      </c>
      <c r="U25" s="30"/>
      <c r="V25" s="30"/>
      <c r="W25" s="30"/>
      <c r="X25" s="30" t="s">
        <v>43</v>
      </c>
      <c r="Y25" s="33" t="s">
        <v>166</v>
      </c>
      <c r="Z25" s="34">
        <v>235666312.66999999</v>
      </c>
      <c r="AA25" s="30" t="s">
        <v>13</v>
      </c>
      <c r="AB25" s="34"/>
      <c r="AC25" s="31"/>
      <c r="AD25" s="30"/>
      <c r="AE25" s="31"/>
      <c r="AF25" s="30"/>
      <c r="AG25" s="35">
        <v>0.13</v>
      </c>
      <c r="AH25" s="30">
        <v>0.12</v>
      </c>
      <c r="AI25" s="34">
        <v>0.14000000000000001</v>
      </c>
      <c r="AJ25" s="34"/>
      <c r="AK25" s="30"/>
      <c r="AL25" s="30"/>
      <c r="AM25" s="30"/>
      <c r="AN25" s="30"/>
    </row>
    <row r="26" spans="1:40" ht="16.5" hidden="1" customHeight="1" x14ac:dyDescent="0.45">
      <c r="A26" s="30"/>
      <c r="B26" s="30"/>
      <c r="C26" s="30" t="s">
        <v>76</v>
      </c>
      <c r="D26" s="30"/>
      <c r="E26" s="31" t="s">
        <v>51</v>
      </c>
      <c r="F26" s="32"/>
      <c r="G26" s="30" t="s">
        <v>150</v>
      </c>
      <c r="H26" s="30"/>
      <c r="I26" s="30"/>
      <c r="J26" s="30"/>
      <c r="K26" s="30"/>
      <c r="L26" s="30"/>
      <c r="M26" s="30" t="s">
        <v>75</v>
      </c>
      <c r="N26" s="30"/>
      <c r="O26" s="30"/>
      <c r="P26" s="30" t="s">
        <v>12</v>
      </c>
      <c r="Q26" s="30"/>
      <c r="R26" s="30"/>
      <c r="S26" s="30" t="s">
        <v>44</v>
      </c>
      <c r="T26" s="30" t="s">
        <v>46</v>
      </c>
      <c r="U26" s="30"/>
      <c r="V26" s="30"/>
      <c r="W26" s="30"/>
      <c r="X26" s="30" t="s">
        <v>43</v>
      </c>
      <c r="Y26" s="33" t="s">
        <v>166</v>
      </c>
      <c r="Z26" s="34">
        <v>173912499.31</v>
      </c>
      <c r="AA26" s="30" t="s">
        <v>13</v>
      </c>
      <c r="AB26" s="34"/>
      <c r="AC26" s="31"/>
      <c r="AD26" s="30"/>
      <c r="AE26" s="31"/>
      <c r="AF26" s="30"/>
      <c r="AG26" s="35">
        <v>0.13</v>
      </c>
      <c r="AH26" s="30">
        <v>0.12</v>
      </c>
      <c r="AI26" s="34">
        <v>0.14000000000000001</v>
      </c>
      <c r="AJ26" s="34"/>
      <c r="AK26" s="30"/>
      <c r="AL26" s="30"/>
      <c r="AM26" s="30"/>
      <c r="AN26" s="30"/>
    </row>
    <row r="27" spans="1:40" ht="16.5" hidden="1" customHeight="1" x14ac:dyDescent="0.45">
      <c r="A27" s="30"/>
      <c r="B27" s="30"/>
      <c r="C27" s="30" t="s">
        <v>77</v>
      </c>
      <c r="D27" s="30"/>
      <c r="E27" s="31" t="s">
        <v>51</v>
      </c>
      <c r="F27" s="32"/>
      <c r="G27" s="30" t="s">
        <v>150</v>
      </c>
      <c r="H27" s="30"/>
      <c r="I27" s="30"/>
      <c r="J27" s="30"/>
      <c r="K27" s="30"/>
      <c r="L27" s="30"/>
      <c r="M27" s="30" t="s">
        <v>55</v>
      </c>
      <c r="N27" s="30"/>
      <c r="O27" s="30"/>
      <c r="P27" s="30" t="s">
        <v>12</v>
      </c>
      <c r="Q27" s="30"/>
      <c r="R27" s="30"/>
      <c r="S27" s="30" t="s">
        <v>49</v>
      </c>
      <c r="T27" s="30" t="s">
        <v>50</v>
      </c>
      <c r="U27" s="30"/>
      <c r="V27" s="30"/>
      <c r="W27" s="30"/>
      <c r="X27" s="30" t="s">
        <v>43</v>
      </c>
      <c r="Y27" s="33" t="s">
        <v>166</v>
      </c>
      <c r="Z27" s="34">
        <v>173912499.31</v>
      </c>
      <c r="AA27" s="30" t="s">
        <v>13</v>
      </c>
      <c r="AB27" s="34"/>
      <c r="AC27" s="31"/>
      <c r="AD27" s="30"/>
      <c r="AE27" s="31"/>
      <c r="AF27" s="30"/>
      <c r="AG27" s="35">
        <v>0.13</v>
      </c>
      <c r="AH27" s="30">
        <v>0.12</v>
      </c>
      <c r="AI27" s="34">
        <v>0.14000000000000001</v>
      </c>
      <c r="AJ27" s="34"/>
      <c r="AK27" s="30"/>
      <c r="AL27" s="30"/>
      <c r="AM27" s="30"/>
      <c r="AN27" s="30"/>
    </row>
    <row r="28" spans="1:40" ht="16.5" hidden="1" customHeight="1" x14ac:dyDescent="0.45">
      <c r="A28" s="30"/>
      <c r="B28" s="30"/>
      <c r="C28" s="30" t="s">
        <v>82</v>
      </c>
      <c r="D28" s="30"/>
      <c r="E28" s="31" t="s">
        <v>51</v>
      </c>
      <c r="F28" s="32"/>
      <c r="G28" s="30" t="s">
        <v>150</v>
      </c>
      <c r="H28" s="30"/>
      <c r="I28" s="30"/>
      <c r="J28" s="30"/>
      <c r="K28" s="30"/>
      <c r="L28" s="30"/>
      <c r="M28" s="30" t="s">
        <v>81</v>
      </c>
      <c r="N28" s="30"/>
      <c r="O28" s="30"/>
      <c r="P28" s="30" t="s">
        <v>12</v>
      </c>
      <c r="Q28" s="30"/>
      <c r="R28" s="30"/>
      <c r="S28" s="30" t="s">
        <v>44</v>
      </c>
      <c r="T28" s="30" t="s">
        <v>46</v>
      </c>
      <c r="U28" s="30"/>
      <c r="V28" s="30"/>
      <c r="W28" s="30"/>
      <c r="X28" s="30" t="s">
        <v>43</v>
      </c>
      <c r="Y28" s="33" t="s">
        <v>166</v>
      </c>
      <c r="Z28" s="34">
        <v>163501664.66999999</v>
      </c>
      <c r="AA28" s="30" t="s">
        <v>13</v>
      </c>
      <c r="AB28" s="34"/>
      <c r="AC28" s="31"/>
      <c r="AD28" s="30"/>
      <c r="AE28" s="31"/>
      <c r="AF28" s="30"/>
      <c r="AG28" s="35">
        <v>0.13</v>
      </c>
      <c r="AH28" s="30">
        <v>0.12</v>
      </c>
      <c r="AI28" s="34">
        <v>0.14000000000000001</v>
      </c>
      <c r="AJ28" s="34"/>
      <c r="AK28" s="30"/>
      <c r="AL28" s="30"/>
      <c r="AM28" s="30"/>
      <c r="AN28" s="30"/>
    </row>
    <row r="29" spans="1:40" ht="16.5" hidden="1" customHeight="1" x14ac:dyDescent="0.45">
      <c r="A29" s="30"/>
      <c r="B29" s="30"/>
      <c r="C29" s="30" t="s">
        <v>83</v>
      </c>
      <c r="D29" s="30"/>
      <c r="E29" s="31" t="s">
        <v>51</v>
      </c>
      <c r="F29" s="32"/>
      <c r="G29" s="30" t="s">
        <v>150</v>
      </c>
      <c r="H29" s="30"/>
      <c r="I29" s="30"/>
      <c r="J29" s="30"/>
      <c r="K29" s="30"/>
      <c r="L29" s="30"/>
      <c r="M29" s="30" t="s">
        <v>55</v>
      </c>
      <c r="N29" s="30"/>
      <c r="O29" s="30"/>
      <c r="P29" s="30" t="s">
        <v>12</v>
      </c>
      <c r="Q29" s="30"/>
      <c r="R29" s="30"/>
      <c r="S29" s="30" t="s">
        <v>49</v>
      </c>
      <c r="T29" s="30" t="s">
        <v>50</v>
      </c>
      <c r="U29" s="30"/>
      <c r="V29" s="30"/>
      <c r="W29" s="30"/>
      <c r="X29" s="30" t="s">
        <v>43</v>
      </c>
      <c r="Y29" s="33" t="s">
        <v>166</v>
      </c>
      <c r="Z29" s="34">
        <v>163501664.66999999</v>
      </c>
      <c r="AA29" s="30" t="s">
        <v>13</v>
      </c>
      <c r="AB29" s="34"/>
      <c r="AC29" s="31"/>
      <c r="AD29" s="30"/>
      <c r="AE29" s="31"/>
      <c r="AF29" s="30"/>
      <c r="AG29" s="35">
        <v>0.13</v>
      </c>
      <c r="AH29" s="30">
        <v>0.12</v>
      </c>
      <c r="AI29" s="34">
        <v>0.14000000000000001</v>
      </c>
      <c r="AJ29" s="34"/>
      <c r="AK29" s="30"/>
      <c r="AL29" s="30"/>
      <c r="AM29" s="30"/>
      <c r="AN29" s="30"/>
    </row>
    <row r="30" spans="1:40" ht="16.5" hidden="1" customHeight="1" x14ac:dyDescent="0.45">
      <c r="A30" s="30"/>
      <c r="B30" s="30"/>
      <c r="C30" s="30" t="s">
        <v>70</v>
      </c>
      <c r="D30" s="30"/>
      <c r="E30" s="31" t="s">
        <v>51</v>
      </c>
      <c r="F30" s="32"/>
      <c r="G30" s="30" t="s">
        <v>150</v>
      </c>
      <c r="H30" s="30"/>
      <c r="I30" s="30"/>
      <c r="J30" s="30"/>
      <c r="K30" s="30"/>
      <c r="L30" s="30"/>
      <c r="M30" s="30" t="s">
        <v>69</v>
      </c>
      <c r="N30" s="30"/>
      <c r="O30" s="30"/>
      <c r="P30" s="30" t="s">
        <v>12</v>
      </c>
      <c r="Q30" s="30"/>
      <c r="R30" s="30"/>
      <c r="S30" s="30" t="s">
        <v>44</v>
      </c>
      <c r="T30" s="30" t="s">
        <v>46</v>
      </c>
      <c r="U30" s="30"/>
      <c r="V30" s="30"/>
      <c r="W30" s="30"/>
      <c r="X30" s="30" t="s">
        <v>43</v>
      </c>
      <c r="Y30" s="33" t="s">
        <v>166</v>
      </c>
      <c r="Z30" s="34">
        <v>139079105.78999999</v>
      </c>
      <c r="AA30" s="30" t="s">
        <v>13</v>
      </c>
      <c r="AB30" s="34"/>
      <c r="AC30" s="31"/>
      <c r="AD30" s="30"/>
      <c r="AE30" s="31"/>
      <c r="AF30" s="30"/>
      <c r="AG30" s="35">
        <v>0.13</v>
      </c>
      <c r="AH30" s="30">
        <v>0.12</v>
      </c>
      <c r="AI30" s="34">
        <v>0.14000000000000001</v>
      </c>
      <c r="AJ30" s="34"/>
      <c r="AK30" s="30"/>
      <c r="AL30" s="30"/>
      <c r="AM30" s="30"/>
      <c r="AN30" s="30"/>
    </row>
    <row r="31" spans="1:40" ht="16.5" hidden="1" customHeight="1" x14ac:dyDescent="0.45">
      <c r="A31" s="30"/>
      <c r="B31" s="30"/>
      <c r="C31" s="30" t="s">
        <v>71</v>
      </c>
      <c r="D31" s="30"/>
      <c r="E31" s="31" t="s">
        <v>51</v>
      </c>
      <c r="F31" s="32"/>
      <c r="G31" s="30" t="s">
        <v>150</v>
      </c>
      <c r="H31" s="30"/>
      <c r="I31" s="30"/>
      <c r="J31" s="30"/>
      <c r="K31" s="30"/>
      <c r="L31" s="30"/>
      <c r="M31" s="30" t="s">
        <v>55</v>
      </c>
      <c r="N31" s="30"/>
      <c r="O31" s="30"/>
      <c r="P31" s="30" t="s">
        <v>12</v>
      </c>
      <c r="Q31" s="30"/>
      <c r="R31" s="30"/>
      <c r="S31" s="30" t="s">
        <v>49</v>
      </c>
      <c r="T31" s="30" t="s">
        <v>50</v>
      </c>
      <c r="U31" s="30"/>
      <c r="V31" s="30"/>
      <c r="W31" s="30"/>
      <c r="X31" s="30" t="s">
        <v>43</v>
      </c>
      <c r="Y31" s="33" t="s">
        <v>166</v>
      </c>
      <c r="Z31" s="34">
        <v>139079105.78999999</v>
      </c>
      <c r="AA31" s="30" t="s">
        <v>13</v>
      </c>
      <c r="AB31" s="34"/>
      <c r="AC31" s="31"/>
      <c r="AD31" s="30"/>
      <c r="AE31" s="31"/>
      <c r="AF31" s="30"/>
      <c r="AG31" s="35">
        <v>0.13</v>
      </c>
      <c r="AH31" s="30">
        <v>0.12</v>
      </c>
      <c r="AI31" s="34">
        <v>0.14000000000000001</v>
      </c>
      <c r="AJ31" s="34"/>
      <c r="AK31" s="30"/>
      <c r="AL31" s="30"/>
      <c r="AM31" s="30"/>
      <c r="AN31" s="30"/>
    </row>
    <row r="32" spans="1:40" ht="16.5" hidden="1" customHeight="1" x14ac:dyDescent="0.45">
      <c r="A32" s="30"/>
      <c r="B32" s="30"/>
      <c r="C32" s="30" t="s">
        <v>54</v>
      </c>
      <c r="D32" s="30"/>
      <c r="E32" s="31" t="s">
        <v>42</v>
      </c>
      <c r="F32" s="32"/>
      <c r="G32" s="30" t="s">
        <v>150</v>
      </c>
      <c r="H32" s="30"/>
      <c r="I32" s="30"/>
      <c r="J32" s="30"/>
      <c r="K32" s="30"/>
      <c r="L32" s="30"/>
      <c r="M32" s="30" t="s">
        <v>48</v>
      </c>
      <c r="N32" s="30"/>
      <c r="O32" s="30"/>
      <c r="P32" s="30" t="s">
        <v>12</v>
      </c>
      <c r="Q32" s="30"/>
      <c r="R32" s="30"/>
      <c r="S32" s="30" t="s">
        <v>49</v>
      </c>
      <c r="T32" s="30" t="s">
        <v>50</v>
      </c>
      <c r="U32" s="30"/>
      <c r="V32" s="30"/>
      <c r="W32" s="30"/>
      <c r="X32" s="30" t="s">
        <v>43</v>
      </c>
      <c r="Y32" s="33" t="s">
        <v>166</v>
      </c>
      <c r="Z32" s="34">
        <v>122264420.84</v>
      </c>
      <c r="AA32" s="30" t="s">
        <v>13</v>
      </c>
      <c r="AB32" s="34"/>
      <c r="AC32" s="31"/>
      <c r="AD32" s="30"/>
      <c r="AE32" s="31"/>
      <c r="AF32" s="30"/>
      <c r="AG32" s="35">
        <v>0.13</v>
      </c>
      <c r="AH32" s="30">
        <v>0.12</v>
      </c>
      <c r="AI32" s="34">
        <v>0.14000000000000001</v>
      </c>
      <c r="AJ32" s="34"/>
      <c r="AK32" s="30"/>
      <c r="AL32" s="30"/>
      <c r="AM32" s="30"/>
      <c r="AN32" s="30"/>
    </row>
    <row r="33" spans="1:40" ht="16.5" customHeight="1" x14ac:dyDescent="0.45">
      <c r="A33" s="30"/>
      <c r="B33" s="30"/>
      <c r="C33" s="30" t="s">
        <v>133</v>
      </c>
      <c r="D33" s="30"/>
      <c r="E33" s="31" t="s">
        <v>51</v>
      </c>
      <c r="F33" s="32"/>
      <c r="G33" s="30" t="s">
        <v>35</v>
      </c>
      <c r="H33" s="30"/>
      <c r="I33" s="30"/>
      <c r="J33" s="30"/>
      <c r="K33" s="30"/>
      <c r="L33" s="30"/>
      <c r="M33" s="30" t="s">
        <v>134</v>
      </c>
      <c r="N33" s="30"/>
      <c r="O33" s="30"/>
      <c r="P33" s="30" t="s">
        <v>12</v>
      </c>
      <c r="Q33" s="30"/>
      <c r="R33" s="30"/>
      <c r="S33" s="30" t="s">
        <v>156</v>
      </c>
      <c r="T33" s="30" t="s">
        <v>4</v>
      </c>
      <c r="U33" s="30"/>
      <c r="V33" s="30"/>
      <c r="W33" s="30"/>
      <c r="X33" s="30" t="s">
        <v>14</v>
      </c>
      <c r="Y33" s="33" t="s">
        <v>166</v>
      </c>
      <c r="Z33" s="34">
        <v>92735225</v>
      </c>
      <c r="AA33" s="30" t="s">
        <v>13</v>
      </c>
      <c r="AB33" s="34"/>
      <c r="AC33" s="31"/>
      <c r="AD33" s="30"/>
      <c r="AE33" s="31"/>
      <c r="AF33" s="30"/>
      <c r="AG33" s="35">
        <v>0.13</v>
      </c>
      <c r="AH33" s="30">
        <v>0.12</v>
      </c>
      <c r="AI33" s="34">
        <v>0.14000000000000001</v>
      </c>
      <c r="AJ33" s="34"/>
      <c r="AK33" s="30"/>
      <c r="AL33" s="30"/>
      <c r="AM33" s="30"/>
      <c r="AN33" s="30"/>
    </row>
    <row r="34" spans="1:40" ht="16.5" hidden="1" customHeight="1" x14ac:dyDescent="0.45">
      <c r="A34" s="30"/>
      <c r="B34" s="30"/>
      <c r="C34" s="30" t="s">
        <v>137</v>
      </c>
      <c r="D34" s="30"/>
      <c r="E34" s="31" t="s">
        <v>51</v>
      </c>
      <c r="F34" s="32"/>
      <c r="G34" s="30" t="s">
        <v>150</v>
      </c>
      <c r="H34" s="30"/>
      <c r="I34" s="30"/>
      <c r="J34" s="30"/>
      <c r="K34" s="30"/>
      <c r="L34" s="30"/>
      <c r="M34" s="30" t="s">
        <v>34</v>
      </c>
      <c r="N34" s="30"/>
      <c r="O34" s="30"/>
      <c r="P34" s="30" t="s">
        <v>12</v>
      </c>
      <c r="Q34" s="30"/>
      <c r="R34" s="30"/>
      <c r="S34" s="30" t="s">
        <v>49</v>
      </c>
      <c r="T34" s="30" t="s">
        <v>50</v>
      </c>
      <c r="U34" s="30"/>
      <c r="V34" s="30"/>
      <c r="W34" s="30"/>
      <c r="X34" s="30" t="s">
        <v>14</v>
      </c>
      <c r="Y34" s="33" t="s">
        <v>166</v>
      </c>
      <c r="Z34" s="34">
        <v>89980493</v>
      </c>
      <c r="AA34" s="30" t="s">
        <v>13</v>
      </c>
      <c r="AB34" s="34"/>
      <c r="AC34" s="31"/>
      <c r="AD34" s="30"/>
      <c r="AE34" s="31"/>
      <c r="AF34" s="30"/>
      <c r="AG34" s="35">
        <v>0.13</v>
      </c>
      <c r="AH34" s="30">
        <v>0.12</v>
      </c>
      <c r="AI34" s="34">
        <v>0.14000000000000001</v>
      </c>
      <c r="AJ34" s="34"/>
      <c r="AK34" s="30"/>
      <c r="AL34" s="30"/>
      <c r="AM34" s="30"/>
      <c r="AN34" s="30"/>
    </row>
    <row r="35" spans="1:40" ht="16.5" hidden="1" customHeight="1" x14ac:dyDescent="0.45">
      <c r="A35" s="30"/>
      <c r="B35" s="30"/>
      <c r="C35" s="30" t="s">
        <v>86</v>
      </c>
      <c r="D35" s="30"/>
      <c r="E35" s="31" t="s">
        <v>51</v>
      </c>
      <c r="F35" s="32"/>
      <c r="G35" s="30" t="s">
        <v>150</v>
      </c>
      <c r="H35" s="30"/>
      <c r="I35" s="30"/>
      <c r="J35" s="30"/>
      <c r="K35" s="30"/>
      <c r="L35" s="30"/>
      <c r="M35" s="30" t="s">
        <v>65</v>
      </c>
      <c r="N35" s="30"/>
      <c r="O35" s="30"/>
      <c r="P35" s="30" t="s">
        <v>12</v>
      </c>
      <c r="Q35" s="30"/>
      <c r="R35" s="30"/>
      <c r="S35" s="30" t="s">
        <v>49</v>
      </c>
      <c r="T35" s="30" t="s">
        <v>50</v>
      </c>
      <c r="U35" s="30"/>
      <c r="V35" s="30"/>
      <c r="W35" s="30"/>
      <c r="X35" s="30" t="s">
        <v>14</v>
      </c>
      <c r="Y35" s="33" t="s">
        <v>166</v>
      </c>
      <c r="Z35" s="34">
        <v>89447669.209999993</v>
      </c>
      <c r="AA35" s="30" t="s">
        <v>13</v>
      </c>
      <c r="AB35" s="34"/>
      <c r="AC35" s="31"/>
      <c r="AD35" s="30"/>
      <c r="AE35" s="31"/>
      <c r="AF35" s="30"/>
      <c r="AG35" s="35">
        <v>0.13</v>
      </c>
      <c r="AH35" s="30">
        <v>0.12</v>
      </c>
      <c r="AI35" s="34">
        <v>0.14000000000000001</v>
      </c>
      <c r="AJ35" s="34"/>
      <c r="AK35" s="30"/>
      <c r="AL35" s="30"/>
      <c r="AM35" s="30"/>
      <c r="AN35" s="30"/>
    </row>
    <row r="36" spans="1:40" ht="16.5" customHeight="1" x14ac:dyDescent="0.45">
      <c r="A36" s="30"/>
      <c r="B36" s="30"/>
      <c r="C36" s="30" t="s">
        <v>153</v>
      </c>
      <c r="D36" s="30"/>
      <c r="E36" s="31" t="s">
        <v>139</v>
      </c>
      <c r="F36" s="32"/>
      <c r="G36" s="30" t="s">
        <v>35</v>
      </c>
      <c r="H36" s="30"/>
      <c r="I36" s="30"/>
      <c r="J36" s="30"/>
      <c r="K36" s="30"/>
      <c r="L36" s="30"/>
      <c r="M36" s="30" t="s">
        <v>152</v>
      </c>
      <c r="N36" s="30"/>
      <c r="O36" s="30"/>
      <c r="P36" s="30" t="s">
        <v>12</v>
      </c>
      <c r="Q36" s="30"/>
      <c r="R36" s="30"/>
      <c r="S36" s="30" t="s">
        <v>157</v>
      </c>
      <c r="T36" s="30" t="s">
        <v>4</v>
      </c>
      <c r="U36" s="30"/>
      <c r="V36" s="30"/>
      <c r="W36" s="30"/>
      <c r="X36" s="30" t="s">
        <v>14</v>
      </c>
      <c r="Y36" s="33" t="s">
        <v>166</v>
      </c>
      <c r="Z36" s="34">
        <v>74079630.290000007</v>
      </c>
      <c r="AA36" s="30" t="s">
        <v>13</v>
      </c>
      <c r="AB36" s="34"/>
      <c r="AC36" s="31"/>
      <c r="AD36" s="30"/>
      <c r="AE36" s="31"/>
      <c r="AF36" s="30"/>
      <c r="AG36" s="35">
        <v>0.13</v>
      </c>
      <c r="AH36" s="30">
        <v>0.12</v>
      </c>
      <c r="AI36" s="34">
        <v>0.14000000000000001</v>
      </c>
      <c r="AJ36" s="34"/>
      <c r="AK36" s="30"/>
      <c r="AL36" s="30"/>
      <c r="AM36" s="30"/>
      <c r="AN36" s="30"/>
    </row>
    <row r="37" spans="1:40" ht="16.5" hidden="1" customHeight="1" x14ac:dyDescent="0.45">
      <c r="A37" s="30"/>
      <c r="B37" s="30"/>
      <c r="C37" s="30" t="s">
        <v>53</v>
      </c>
      <c r="D37" s="30"/>
      <c r="E37" s="31" t="s">
        <v>42</v>
      </c>
      <c r="F37" s="32"/>
      <c r="G37" s="30" t="s">
        <v>35</v>
      </c>
      <c r="H37" s="30"/>
      <c r="I37" s="30"/>
      <c r="J37" s="30"/>
      <c r="K37" s="30"/>
      <c r="L37" s="30"/>
      <c r="M37" s="30" t="s">
        <v>52</v>
      </c>
      <c r="N37" s="30"/>
      <c r="O37" s="30"/>
      <c r="P37" s="30" t="s">
        <v>12</v>
      </c>
      <c r="Q37" s="30"/>
      <c r="R37" s="30"/>
      <c r="S37" s="30" t="s">
        <v>158</v>
      </c>
      <c r="T37" s="30" t="s">
        <v>4</v>
      </c>
      <c r="U37" s="30"/>
      <c r="V37" s="30"/>
      <c r="W37" s="30"/>
      <c r="X37" s="30" t="s">
        <v>43</v>
      </c>
      <c r="Y37" s="33" t="s">
        <v>166</v>
      </c>
      <c r="Z37" s="34">
        <v>70800000</v>
      </c>
      <c r="AA37" s="30" t="s">
        <v>13</v>
      </c>
      <c r="AB37" s="34"/>
      <c r="AC37" s="31"/>
      <c r="AD37" s="30"/>
      <c r="AE37" s="31"/>
      <c r="AF37" s="30"/>
      <c r="AG37" s="35">
        <v>0.13</v>
      </c>
      <c r="AH37" s="30">
        <v>0.12</v>
      </c>
      <c r="AI37" s="34">
        <v>0.14000000000000001</v>
      </c>
      <c r="AJ37" s="34"/>
      <c r="AK37" s="30"/>
      <c r="AL37" s="30"/>
      <c r="AM37" s="30"/>
      <c r="AN37" s="30"/>
    </row>
    <row r="38" spans="1:40" ht="16.5" hidden="1" customHeight="1" x14ac:dyDescent="0.45">
      <c r="A38" s="30"/>
      <c r="B38" s="30"/>
      <c r="C38" s="30" t="s">
        <v>154</v>
      </c>
      <c r="D38" s="30"/>
      <c r="E38" s="31" t="s">
        <v>139</v>
      </c>
      <c r="F38" s="32"/>
      <c r="G38" s="30" t="s">
        <v>150</v>
      </c>
      <c r="H38" s="30"/>
      <c r="I38" s="30"/>
      <c r="J38" s="30"/>
      <c r="K38" s="30"/>
      <c r="L38" s="30"/>
      <c r="M38" s="30" t="s">
        <v>34</v>
      </c>
      <c r="N38" s="30"/>
      <c r="O38" s="30"/>
      <c r="P38" s="30" t="s">
        <v>12</v>
      </c>
      <c r="Q38" s="30"/>
      <c r="R38" s="30"/>
      <c r="S38" s="30" t="s">
        <v>49</v>
      </c>
      <c r="T38" s="30" t="s">
        <v>50</v>
      </c>
      <c r="U38" s="30"/>
      <c r="V38" s="30"/>
      <c r="W38" s="30"/>
      <c r="X38" s="30" t="s">
        <v>14</v>
      </c>
      <c r="Y38" s="33" t="s">
        <v>166</v>
      </c>
      <c r="Z38" s="34">
        <v>68053226.400000006</v>
      </c>
      <c r="AA38" s="30" t="s">
        <v>13</v>
      </c>
      <c r="AB38" s="34"/>
      <c r="AC38" s="31"/>
      <c r="AD38" s="30"/>
      <c r="AE38" s="31"/>
      <c r="AF38" s="30"/>
      <c r="AG38" s="35">
        <v>0.13</v>
      </c>
      <c r="AH38" s="30">
        <v>0.12</v>
      </c>
      <c r="AI38" s="34">
        <v>0.14000000000000001</v>
      </c>
      <c r="AJ38" s="34"/>
      <c r="AK38" s="30"/>
      <c r="AL38" s="30"/>
      <c r="AM38" s="30"/>
      <c r="AN38" s="30"/>
    </row>
    <row r="39" spans="1:40" ht="16.5" hidden="1" customHeight="1" x14ac:dyDescent="0.45">
      <c r="A39" s="30"/>
      <c r="B39" s="30"/>
      <c r="C39" s="30" t="s">
        <v>136</v>
      </c>
      <c r="D39" s="30"/>
      <c r="E39" s="31" t="s">
        <v>51</v>
      </c>
      <c r="F39" s="32"/>
      <c r="G39" s="30" t="s">
        <v>150</v>
      </c>
      <c r="H39" s="30"/>
      <c r="I39" s="30"/>
      <c r="J39" s="30"/>
      <c r="K39" s="30"/>
      <c r="L39" s="30"/>
      <c r="M39" s="30" t="s">
        <v>34</v>
      </c>
      <c r="N39" s="30"/>
      <c r="O39" s="30"/>
      <c r="P39" s="30" t="s">
        <v>12</v>
      </c>
      <c r="Q39" s="30"/>
      <c r="R39" s="30"/>
      <c r="S39" s="30" t="s">
        <v>49</v>
      </c>
      <c r="T39" s="30" t="s">
        <v>50</v>
      </c>
      <c r="U39" s="30"/>
      <c r="V39" s="30"/>
      <c r="W39" s="30"/>
      <c r="X39" s="30" t="s">
        <v>43</v>
      </c>
      <c r="Y39" s="33" t="s">
        <v>166</v>
      </c>
      <c r="Z39" s="34">
        <v>61182292.950000003</v>
      </c>
      <c r="AA39" s="30" t="s">
        <v>13</v>
      </c>
      <c r="AB39" s="34"/>
      <c r="AC39" s="31"/>
      <c r="AD39" s="30"/>
      <c r="AE39" s="31"/>
      <c r="AF39" s="30"/>
      <c r="AG39" s="35">
        <v>0.13</v>
      </c>
      <c r="AH39" s="30">
        <v>0.12</v>
      </c>
      <c r="AI39" s="34">
        <v>0.14000000000000001</v>
      </c>
      <c r="AJ39" s="34"/>
      <c r="AK39" s="30"/>
      <c r="AL39" s="30"/>
      <c r="AM39" s="30"/>
      <c r="AN39" s="30"/>
    </row>
    <row r="40" spans="1:40" ht="16.5" hidden="1" customHeight="1" x14ac:dyDescent="0.45">
      <c r="A40" s="30"/>
      <c r="B40" s="30"/>
      <c r="C40" s="30" t="s">
        <v>145</v>
      </c>
      <c r="D40" s="30"/>
      <c r="E40" s="31" t="s">
        <v>139</v>
      </c>
      <c r="F40" s="32"/>
      <c r="G40" s="30" t="s">
        <v>150</v>
      </c>
      <c r="H40" s="30"/>
      <c r="I40" s="30"/>
      <c r="J40" s="30"/>
      <c r="K40" s="30"/>
      <c r="L40" s="30"/>
      <c r="M40" s="30" t="s">
        <v>34</v>
      </c>
      <c r="N40" s="30"/>
      <c r="O40" s="30"/>
      <c r="P40" s="30" t="s">
        <v>12</v>
      </c>
      <c r="Q40" s="30"/>
      <c r="R40" s="30"/>
      <c r="S40" s="30" t="s">
        <v>49</v>
      </c>
      <c r="T40" s="30" t="s">
        <v>50</v>
      </c>
      <c r="U40" s="30"/>
      <c r="V40" s="30"/>
      <c r="W40" s="30"/>
      <c r="X40" s="30" t="s">
        <v>43</v>
      </c>
      <c r="Y40" s="33" t="s">
        <v>166</v>
      </c>
      <c r="Z40" s="34">
        <v>54887731.450000003</v>
      </c>
      <c r="AA40" s="30" t="s">
        <v>13</v>
      </c>
      <c r="AB40" s="34"/>
      <c r="AC40" s="31"/>
      <c r="AD40" s="30"/>
      <c r="AE40" s="31"/>
      <c r="AF40" s="30"/>
      <c r="AG40" s="35">
        <v>0.13</v>
      </c>
      <c r="AH40" s="30">
        <v>0.12</v>
      </c>
      <c r="AI40" s="34">
        <v>0.14000000000000001</v>
      </c>
      <c r="AJ40" s="34"/>
      <c r="AK40" s="30"/>
      <c r="AL40" s="30"/>
      <c r="AM40" s="30"/>
      <c r="AN40" s="30"/>
    </row>
    <row r="41" spans="1:40" ht="16.5" hidden="1" customHeight="1" x14ac:dyDescent="0.45">
      <c r="A41" s="30"/>
      <c r="B41" s="30"/>
      <c r="C41" s="30" t="s">
        <v>144</v>
      </c>
      <c r="D41" s="30"/>
      <c r="E41" s="31" t="s">
        <v>139</v>
      </c>
      <c r="F41" s="32"/>
      <c r="G41" s="30" t="s">
        <v>35</v>
      </c>
      <c r="H41" s="30"/>
      <c r="I41" s="30"/>
      <c r="J41" s="30"/>
      <c r="K41" s="30"/>
      <c r="L41" s="30"/>
      <c r="M41" s="30" t="s">
        <v>143</v>
      </c>
      <c r="N41" s="30"/>
      <c r="O41" s="30"/>
      <c r="P41" s="30" t="s">
        <v>12</v>
      </c>
      <c r="Q41" s="30"/>
      <c r="R41" s="30"/>
      <c r="S41" s="30" t="s">
        <v>159</v>
      </c>
      <c r="T41" s="30" t="s">
        <v>4</v>
      </c>
      <c r="U41" s="30"/>
      <c r="V41" s="30"/>
      <c r="W41" s="30"/>
      <c r="X41" s="30" t="s">
        <v>43</v>
      </c>
      <c r="Y41" s="33" t="s">
        <v>166</v>
      </c>
      <c r="Z41" s="34">
        <v>54775735.450000003</v>
      </c>
      <c r="AA41" s="30" t="s">
        <v>13</v>
      </c>
      <c r="AB41" s="34"/>
      <c r="AC41" s="31"/>
      <c r="AD41" s="30"/>
      <c r="AE41" s="31"/>
      <c r="AF41" s="30"/>
      <c r="AG41" s="35">
        <v>0.13</v>
      </c>
      <c r="AH41" s="30">
        <v>0.12</v>
      </c>
      <c r="AI41" s="34">
        <v>0.14000000000000001</v>
      </c>
      <c r="AJ41" s="34"/>
      <c r="AK41" s="30"/>
      <c r="AL41" s="30"/>
      <c r="AM41" s="30"/>
      <c r="AN41" s="30"/>
    </row>
    <row r="42" spans="1:40" ht="16.5" hidden="1" customHeight="1" x14ac:dyDescent="0.45">
      <c r="A42" s="30"/>
      <c r="B42" s="30"/>
      <c r="C42" s="30" t="s">
        <v>114</v>
      </c>
      <c r="D42" s="30"/>
      <c r="E42" s="31" t="s">
        <v>51</v>
      </c>
      <c r="F42" s="32"/>
      <c r="G42" s="30" t="s">
        <v>150</v>
      </c>
      <c r="H42" s="30"/>
      <c r="I42" s="30"/>
      <c r="J42" s="30"/>
      <c r="K42" s="30"/>
      <c r="L42" s="30"/>
      <c r="M42" s="30" t="s">
        <v>113</v>
      </c>
      <c r="N42" s="30"/>
      <c r="O42" s="30"/>
      <c r="P42" s="30" t="s">
        <v>12</v>
      </c>
      <c r="Q42" s="30"/>
      <c r="R42" s="30"/>
      <c r="S42" s="30" t="s">
        <v>49</v>
      </c>
      <c r="T42" s="30" t="s">
        <v>50</v>
      </c>
      <c r="U42" s="30"/>
      <c r="V42" s="30"/>
      <c r="W42" s="30"/>
      <c r="X42" s="30" t="s">
        <v>14</v>
      </c>
      <c r="Y42" s="33" t="s">
        <v>166</v>
      </c>
      <c r="Z42" s="34">
        <v>50000000</v>
      </c>
      <c r="AA42" s="30" t="s">
        <v>13</v>
      </c>
      <c r="AB42" s="34"/>
      <c r="AC42" s="31"/>
      <c r="AD42" s="30"/>
      <c r="AE42" s="31"/>
      <c r="AF42" s="30"/>
      <c r="AG42" s="35">
        <v>0.13</v>
      </c>
      <c r="AH42" s="30">
        <v>0.12</v>
      </c>
      <c r="AI42" s="34">
        <v>0.14000000000000001</v>
      </c>
      <c r="AJ42" s="34"/>
      <c r="AK42" s="30"/>
      <c r="AL42" s="30"/>
      <c r="AM42" s="30"/>
      <c r="AN42" s="30"/>
    </row>
    <row r="43" spans="1:40" ht="16.5" hidden="1" customHeight="1" x14ac:dyDescent="0.45">
      <c r="A43" s="30"/>
      <c r="B43" s="30"/>
      <c r="C43" s="30" t="s">
        <v>108</v>
      </c>
      <c r="D43" s="30"/>
      <c r="E43" s="31" t="s">
        <v>51</v>
      </c>
      <c r="F43" s="32"/>
      <c r="G43" s="30" t="s">
        <v>150</v>
      </c>
      <c r="H43" s="30"/>
      <c r="I43" s="30"/>
      <c r="J43" s="30"/>
      <c r="K43" s="30"/>
      <c r="L43" s="30"/>
      <c r="M43" s="30" t="s">
        <v>106</v>
      </c>
      <c r="N43" s="30"/>
      <c r="O43" s="30"/>
      <c r="P43" s="30" t="s">
        <v>12</v>
      </c>
      <c r="Q43" s="30"/>
      <c r="R43" s="30"/>
      <c r="S43" s="30" t="s">
        <v>49</v>
      </c>
      <c r="T43" s="30" t="s">
        <v>50</v>
      </c>
      <c r="U43" s="30"/>
      <c r="V43" s="30"/>
      <c r="W43" s="30"/>
      <c r="X43" s="30" t="s">
        <v>43</v>
      </c>
      <c r="Y43" s="33" t="s">
        <v>166</v>
      </c>
      <c r="Z43" s="34">
        <v>37520898.259999998</v>
      </c>
      <c r="AA43" s="30" t="s">
        <v>13</v>
      </c>
      <c r="AB43" s="34"/>
      <c r="AC43" s="31"/>
      <c r="AD43" s="30"/>
      <c r="AE43" s="31"/>
      <c r="AF43" s="30"/>
      <c r="AG43" s="35">
        <v>0.13</v>
      </c>
      <c r="AH43" s="30">
        <v>0.12</v>
      </c>
      <c r="AI43" s="34">
        <v>0.14000000000000001</v>
      </c>
      <c r="AJ43" s="34"/>
      <c r="AK43" s="30"/>
      <c r="AL43" s="30"/>
      <c r="AM43" s="30"/>
      <c r="AN43" s="30"/>
    </row>
    <row r="44" spans="1:40" ht="16.5" hidden="1" customHeight="1" x14ac:dyDescent="0.45">
      <c r="A44" s="30"/>
      <c r="B44" s="30"/>
      <c r="C44" s="30" t="s">
        <v>98</v>
      </c>
      <c r="D44" s="30"/>
      <c r="E44" s="31" t="s">
        <v>51</v>
      </c>
      <c r="F44" s="32"/>
      <c r="G44" s="30" t="s">
        <v>150</v>
      </c>
      <c r="H44" s="30"/>
      <c r="I44" s="30"/>
      <c r="J44" s="30"/>
      <c r="K44" s="30"/>
      <c r="L44" s="30"/>
      <c r="M44" s="30" t="s">
        <v>94</v>
      </c>
      <c r="N44" s="30"/>
      <c r="O44" s="30"/>
      <c r="P44" s="30" t="s">
        <v>12</v>
      </c>
      <c r="Q44" s="30"/>
      <c r="R44" s="30"/>
      <c r="S44" s="30" t="s">
        <v>49</v>
      </c>
      <c r="T44" s="30" t="s">
        <v>50</v>
      </c>
      <c r="U44" s="30"/>
      <c r="V44" s="30"/>
      <c r="W44" s="30"/>
      <c r="X44" s="30" t="s">
        <v>14</v>
      </c>
      <c r="Y44" s="33" t="s">
        <v>166</v>
      </c>
      <c r="Z44" s="34">
        <v>37520819.710000001</v>
      </c>
      <c r="AA44" s="30" t="s">
        <v>13</v>
      </c>
      <c r="AB44" s="34"/>
      <c r="AC44" s="31"/>
      <c r="AD44" s="30"/>
      <c r="AE44" s="31"/>
      <c r="AF44" s="30"/>
      <c r="AG44" s="35">
        <v>0.13</v>
      </c>
      <c r="AH44" s="30">
        <v>0.12</v>
      </c>
      <c r="AI44" s="34">
        <v>0.14000000000000001</v>
      </c>
      <c r="AJ44" s="34"/>
      <c r="AK44" s="30"/>
      <c r="AL44" s="30"/>
      <c r="AM44" s="30"/>
      <c r="AN44" s="30"/>
    </row>
    <row r="45" spans="1:40" ht="16.5" hidden="1" customHeight="1" x14ac:dyDescent="0.45">
      <c r="A45" s="30"/>
      <c r="B45" s="30"/>
      <c r="C45" s="30" t="s">
        <v>97</v>
      </c>
      <c r="D45" s="30"/>
      <c r="E45" s="31" t="s">
        <v>51</v>
      </c>
      <c r="F45" s="32"/>
      <c r="G45" s="30" t="s">
        <v>150</v>
      </c>
      <c r="H45" s="30"/>
      <c r="I45" s="30"/>
      <c r="J45" s="30"/>
      <c r="K45" s="30"/>
      <c r="L45" s="30"/>
      <c r="M45" s="30" t="s">
        <v>96</v>
      </c>
      <c r="N45" s="30"/>
      <c r="O45" s="30"/>
      <c r="P45" s="30" t="s">
        <v>12</v>
      </c>
      <c r="Q45" s="30"/>
      <c r="R45" s="30"/>
      <c r="S45" s="30" t="s">
        <v>44</v>
      </c>
      <c r="T45" s="30" t="s">
        <v>45</v>
      </c>
      <c r="U45" s="30"/>
      <c r="V45" s="30"/>
      <c r="W45" s="30"/>
      <c r="X45" s="30" t="s">
        <v>14</v>
      </c>
      <c r="Y45" s="33" t="s">
        <v>166</v>
      </c>
      <c r="Z45" s="34">
        <v>37520806.659999996</v>
      </c>
      <c r="AA45" s="30" t="s">
        <v>13</v>
      </c>
      <c r="AB45" s="34"/>
      <c r="AC45" s="31"/>
      <c r="AD45" s="30"/>
      <c r="AE45" s="31"/>
      <c r="AF45" s="30"/>
      <c r="AG45" s="35">
        <v>0.13</v>
      </c>
      <c r="AH45" s="30">
        <v>0.12</v>
      </c>
      <c r="AI45" s="34">
        <v>0.14000000000000001</v>
      </c>
      <c r="AJ45" s="34"/>
      <c r="AK45" s="30"/>
      <c r="AL45" s="30"/>
      <c r="AM45" s="30"/>
      <c r="AN45" s="30"/>
    </row>
    <row r="46" spans="1:40" ht="16.5" hidden="1" customHeight="1" x14ac:dyDescent="0.45">
      <c r="A46" s="30"/>
      <c r="B46" s="30"/>
      <c r="C46" s="30" t="s">
        <v>107</v>
      </c>
      <c r="D46" s="30"/>
      <c r="E46" s="31" t="s">
        <v>51</v>
      </c>
      <c r="F46" s="32"/>
      <c r="G46" s="30" t="s">
        <v>150</v>
      </c>
      <c r="H46" s="30"/>
      <c r="I46" s="30"/>
      <c r="J46" s="30"/>
      <c r="K46" s="30"/>
      <c r="L46" s="30"/>
      <c r="M46" s="30" t="s">
        <v>105</v>
      </c>
      <c r="N46" s="30"/>
      <c r="O46" s="30"/>
      <c r="P46" s="30" t="s">
        <v>12</v>
      </c>
      <c r="Q46" s="30"/>
      <c r="R46" s="30"/>
      <c r="S46" s="30" t="s">
        <v>44</v>
      </c>
      <c r="T46" s="30" t="s">
        <v>45</v>
      </c>
      <c r="U46" s="30"/>
      <c r="V46" s="30"/>
      <c r="W46" s="30"/>
      <c r="X46" s="30" t="s">
        <v>43</v>
      </c>
      <c r="Y46" s="33" t="s">
        <v>166</v>
      </c>
      <c r="Z46" s="34">
        <v>37520806.659999996</v>
      </c>
      <c r="AA46" s="30" t="s">
        <v>13</v>
      </c>
      <c r="AB46" s="34"/>
      <c r="AC46" s="31"/>
      <c r="AD46" s="30"/>
      <c r="AE46" s="31"/>
      <c r="AF46" s="30"/>
      <c r="AG46" s="35">
        <v>0.13</v>
      </c>
      <c r="AH46" s="30">
        <v>0.12</v>
      </c>
      <c r="AI46" s="34">
        <v>0.14000000000000001</v>
      </c>
      <c r="AJ46" s="34"/>
      <c r="AK46" s="30"/>
      <c r="AL46" s="30"/>
      <c r="AM46" s="30"/>
      <c r="AN46" s="30"/>
    </row>
    <row r="47" spans="1:40" ht="16.5" hidden="1" customHeight="1" x14ac:dyDescent="0.45">
      <c r="A47" s="30"/>
      <c r="B47" s="30"/>
      <c r="C47" s="30" t="s">
        <v>112</v>
      </c>
      <c r="D47" s="30"/>
      <c r="E47" s="31" t="s">
        <v>51</v>
      </c>
      <c r="F47" s="32"/>
      <c r="G47" s="30" t="s">
        <v>150</v>
      </c>
      <c r="H47" s="30"/>
      <c r="I47" s="30"/>
      <c r="J47" s="30"/>
      <c r="K47" s="30"/>
      <c r="L47" s="30"/>
      <c r="M47" s="30" t="s">
        <v>113</v>
      </c>
      <c r="N47" s="30"/>
      <c r="O47" s="30"/>
      <c r="P47" s="30" t="s">
        <v>12</v>
      </c>
      <c r="Q47" s="30"/>
      <c r="R47" s="30"/>
      <c r="S47" s="30" t="s">
        <v>49</v>
      </c>
      <c r="T47" s="30" t="s">
        <v>50</v>
      </c>
      <c r="U47" s="30"/>
      <c r="V47" s="30"/>
      <c r="W47" s="30"/>
      <c r="X47" s="30" t="s">
        <v>43</v>
      </c>
      <c r="Y47" s="33" t="s">
        <v>166</v>
      </c>
      <c r="Z47" s="34">
        <v>37520793.609999999</v>
      </c>
      <c r="AA47" s="30" t="s">
        <v>13</v>
      </c>
      <c r="AB47" s="34"/>
      <c r="AC47" s="31"/>
      <c r="AD47" s="30"/>
      <c r="AE47" s="31"/>
      <c r="AF47" s="30"/>
      <c r="AG47" s="35">
        <v>0.13</v>
      </c>
      <c r="AH47" s="30">
        <v>0.12</v>
      </c>
      <c r="AI47" s="34">
        <v>0.14000000000000001</v>
      </c>
      <c r="AJ47" s="34"/>
      <c r="AK47" s="30"/>
      <c r="AL47" s="30"/>
      <c r="AM47" s="30"/>
      <c r="AN47" s="30"/>
    </row>
    <row r="48" spans="1:40" ht="16.5" hidden="1" customHeight="1" x14ac:dyDescent="0.45">
      <c r="A48" s="30"/>
      <c r="B48" s="30"/>
      <c r="C48" s="30" t="s">
        <v>119</v>
      </c>
      <c r="D48" s="30"/>
      <c r="E48" s="31" t="s">
        <v>51</v>
      </c>
      <c r="F48" s="32"/>
      <c r="G48" s="30" t="s">
        <v>150</v>
      </c>
      <c r="H48" s="30"/>
      <c r="I48" s="30"/>
      <c r="J48" s="30"/>
      <c r="K48" s="30"/>
      <c r="L48" s="30"/>
      <c r="M48" s="30" t="s">
        <v>34</v>
      </c>
      <c r="N48" s="30"/>
      <c r="O48" s="30"/>
      <c r="P48" s="30" t="s">
        <v>12</v>
      </c>
      <c r="Q48" s="30"/>
      <c r="R48" s="30"/>
      <c r="S48" s="30" t="s">
        <v>49</v>
      </c>
      <c r="T48" s="30" t="s">
        <v>50</v>
      </c>
      <c r="U48" s="30"/>
      <c r="V48" s="30"/>
      <c r="W48" s="30"/>
      <c r="X48" s="30" t="s">
        <v>43</v>
      </c>
      <c r="Y48" s="33" t="s">
        <v>166</v>
      </c>
      <c r="Z48" s="34">
        <v>36005856.25</v>
      </c>
      <c r="AA48" s="30" t="s">
        <v>13</v>
      </c>
      <c r="AB48" s="34"/>
      <c r="AC48" s="31"/>
      <c r="AD48" s="30"/>
      <c r="AE48" s="31"/>
      <c r="AF48" s="30"/>
      <c r="AG48" s="35">
        <v>0.13</v>
      </c>
      <c r="AH48" s="30">
        <v>0.12</v>
      </c>
      <c r="AI48" s="34">
        <v>0.14000000000000001</v>
      </c>
      <c r="AJ48" s="34"/>
      <c r="AK48" s="30"/>
      <c r="AL48" s="30"/>
      <c r="AM48" s="30"/>
      <c r="AN48" s="30"/>
    </row>
    <row r="49" spans="1:40" ht="16.5" customHeight="1" x14ac:dyDescent="0.45">
      <c r="A49" s="30"/>
      <c r="B49" s="30"/>
      <c r="C49" s="30" t="s">
        <v>123</v>
      </c>
      <c r="D49" s="30"/>
      <c r="E49" s="31" t="s">
        <v>51</v>
      </c>
      <c r="F49" s="32"/>
      <c r="G49" s="30" t="s">
        <v>35</v>
      </c>
      <c r="H49" s="30"/>
      <c r="I49" s="30"/>
      <c r="J49" s="30"/>
      <c r="K49" s="30"/>
      <c r="L49" s="30"/>
      <c r="M49" s="30" t="s">
        <v>124</v>
      </c>
      <c r="N49" s="30"/>
      <c r="O49" s="30"/>
      <c r="P49" s="30" t="s">
        <v>12</v>
      </c>
      <c r="Q49" s="30"/>
      <c r="R49" s="30"/>
      <c r="S49" s="30" t="s">
        <v>155</v>
      </c>
      <c r="T49" s="30" t="s">
        <v>4</v>
      </c>
      <c r="U49" s="30"/>
      <c r="V49" s="30"/>
      <c r="W49" s="30"/>
      <c r="X49" s="30" t="s">
        <v>14</v>
      </c>
      <c r="Y49" s="33" t="s">
        <v>166</v>
      </c>
      <c r="Z49" s="34">
        <v>33841866.200000003</v>
      </c>
      <c r="AA49" s="30" t="s">
        <v>13</v>
      </c>
      <c r="AB49" s="34"/>
      <c r="AC49" s="31"/>
      <c r="AD49" s="30"/>
      <c r="AE49" s="31"/>
      <c r="AF49" s="30"/>
      <c r="AG49" s="35">
        <v>0.13</v>
      </c>
      <c r="AH49" s="30">
        <v>0.12</v>
      </c>
      <c r="AI49" s="34">
        <v>0.14000000000000001</v>
      </c>
      <c r="AJ49" s="34"/>
      <c r="AK49" s="30"/>
      <c r="AL49" s="30"/>
      <c r="AM49" s="30"/>
      <c r="AN49" s="30"/>
    </row>
    <row r="50" spans="1:40" ht="16.5" hidden="1" customHeight="1" x14ac:dyDescent="0.45">
      <c r="A50" s="30"/>
      <c r="B50" s="30"/>
      <c r="C50" s="30" t="s">
        <v>132</v>
      </c>
      <c r="D50" s="30"/>
      <c r="E50" s="31" t="s">
        <v>51</v>
      </c>
      <c r="F50" s="32"/>
      <c r="G50" s="30" t="s">
        <v>150</v>
      </c>
      <c r="H50" s="30"/>
      <c r="I50" s="30"/>
      <c r="J50" s="30"/>
      <c r="K50" s="30"/>
      <c r="L50" s="30"/>
      <c r="M50" s="30" t="s">
        <v>34</v>
      </c>
      <c r="N50" s="30"/>
      <c r="O50" s="30"/>
      <c r="P50" s="30" t="s">
        <v>12</v>
      </c>
      <c r="Q50" s="30"/>
      <c r="R50" s="30"/>
      <c r="S50" s="30" t="s">
        <v>49</v>
      </c>
      <c r="T50" s="30" t="s">
        <v>50</v>
      </c>
      <c r="U50" s="30"/>
      <c r="V50" s="30"/>
      <c r="W50" s="30"/>
      <c r="X50" s="30" t="s">
        <v>14</v>
      </c>
      <c r="Y50" s="33" t="s">
        <v>166</v>
      </c>
      <c r="Z50" s="34">
        <v>33841866.200000003</v>
      </c>
      <c r="AA50" s="30" t="s">
        <v>13</v>
      </c>
      <c r="AB50" s="34"/>
      <c r="AC50" s="31"/>
      <c r="AD50" s="30"/>
      <c r="AE50" s="31"/>
      <c r="AF50" s="30"/>
      <c r="AG50" s="35">
        <v>0.13</v>
      </c>
      <c r="AH50" s="30">
        <v>0.12</v>
      </c>
      <c r="AI50" s="34">
        <v>0.14000000000000001</v>
      </c>
      <c r="AJ50" s="34"/>
      <c r="AK50" s="30"/>
      <c r="AL50" s="30"/>
      <c r="AM50" s="30"/>
      <c r="AN50" s="30"/>
    </row>
    <row r="51" spans="1:40" ht="16.5" hidden="1" customHeight="1" x14ac:dyDescent="0.45">
      <c r="A51" s="30"/>
      <c r="B51" s="30"/>
      <c r="C51" s="30" t="s">
        <v>135</v>
      </c>
      <c r="D51" s="30"/>
      <c r="E51" s="31" t="s">
        <v>51</v>
      </c>
      <c r="F51" s="32"/>
      <c r="G51" s="30" t="s">
        <v>35</v>
      </c>
      <c r="H51" s="30"/>
      <c r="I51" s="30"/>
      <c r="J51" s="30"/>
      <c r="K51" s="30"/>
      <c r="L51" s="30"/>
      <c r="M51" s="30" t="s">
        <v>131</v>
      </c>
      <c r="N51" s="30"/>
      <c r="O51" s="30"/>
      <c r="P51" s="30" t="s">
        <v>12</v>
      </c>
      <c r="Q51" s="30"/>
      <c r="R51" s="30"/>
      <c r="S51" s="30" t="s">
        <v>160</v>
      </c>
      <c r="T51" s="30" t="s">
        <v>4</v>
      </c>
      <c r="U51" s="30"/>
      <c r="V51" s="30"/>
      <c r="W51" s="30"/>
      <c r="X51" s="30" t="s">
        <v>43</v>
      </c>
      <c r="Y51" s="33" t="s">
        <v>166</v>
      </c>
      <c r="Z51" s="34">
        <v>32500000</v>
      </c>
      <c r="AA51" s="30" t="s">
        <v>13</v>
      </c>
      <c r="AB51" s="34"/>
      <c r="AC51" s="31"/>
      <c r="AD51" s="30"/>
      <c r="AE51" s="31"/>
      <c r="AF51" s="30"/>
      <c r="AG51" s="35">
        <v>0.13</v>
      </c>
      <c r="AH51" s="30">
        <v>0.12</v>
      </c>
      <c r="AI51" s="34">
        <v>0.14000000000000001</v>
      </c>
      <c r="AJ51" s="34"/>
      <c r="AK51" s="30"/>
      <c r="AL51" s="30"/>
      <c r="AM51" s="30"/>
      <c r="AN51" s="30"/>
    </row>
    <row r="52" spans="1:40" ht="16.5" customHeight="1" x14ac:dyDescent="0.45">
      <c r="A52" s="30"/>
      <c r="B52" s="30"/>
      <c r="C52" s="30" t="s">
        <v>115</v>
      </c>
      <c r="D52" s="30"/>
      <c r="E52" s="31" t="s">
        <v>51</v>
      </c>
      <c r="F52" s="32"/>
      <c r="G52" s="30" t="s">
        <v>35</v>
      </c>
      <c r="H52" s="30"/>
      <c r="I52" s="30"/>
      <c r="J52" s="30"/>
      <c r="K52" s="30"/>
      <c r="L52" s="30"/>
      <c r="M52" s="30" t="s">
        <v>61</v>
      </c>
      <c r="N52" s="30"/>
      <c r="O52" s="30"/>
      <c r="P52" s="30" t="s">
        <v>12</v>
      </c>
      <c r="Q52" s="30"/>
      <c r="R52" s="30"/>
      <c r="S52" s="30" t="s">
        <v>161</v>
      </c>
      <c r="T52" s="30" t="s">
        <v>4</v>
      </c>
      <c r="U52" s="30"/>
      <c r="V52" s="30"/>
      <c r="W52" s="30"/>
      <c r="X52" s="30" t="s">
        <v>14</v>
      </c>
      <c r="Y52" s="33" t="s">
        <v>166</v>
      </c>
      <c r="Z52" s="34">
        <v>30000000</v>
      </c>
      <c r="AA52" s="30" t="s">
        <v>13</v>
      </c>
      <c r="AB52" s="34"/>
      <c r="AC52" s="31"/>
      <c r="AD52" s="30"/>
      <c r="AE52" s="31"/>
      <c r="AF52" s="30"/>
      <c r="AG52" s="35">
        <v>0.13</v>
      </c>
      <c r="AH52" s="30">
        <v>0.12</v>
      </c>
      <c r="AI52" s="34">
        <v>0.14000000000000001</v>
      </c>
      <c r="AJ52" s="34"/>
      <c r="AK52" s="30"/>
      <c r="AL52" s="30"/>
      <c r="AM52" s="30"/>
      <c r="AN52" s="30"/>
    </row>
    <row r="53" spans="1:40" ht="16.5" hidden="1" customHeight="1" x14ac:dyDescent="0.45">
      <c r="A53" s="30"/>
      <c r="B53" s="30"/>
      <c r="C53" s="30" t="s">
        <v>118</v>
      </c>
      <c r="D53" s="30"/>
      <c r="E53" s="31" t="s">
        <v>51</v>
      </c>
      <c r="F53" s="32"/>
      <c r="G53" s="30" t="s">
        <v>150</v>
      </c>
      <c r="H53" s="30"/>
      <c r="I53" s="30"/>
      <c r="J53" s="30"/>
      <c r="K53" s="30"/>
      <c r="L53" s="30"/>
      <c r="M53" s="30" t="s">
        <v>34</v>
      </c>
      <c r="N53" s="30"/>
      <c r="O53" s="30"/>
      <c r="P53" s="30" t="s">
        <v>12</v>
      </c>
      <c r="Q53" s="30"/>
      <c r="R53" s="30"/>
      <c r="S53" s="30" t="s">
        <v>49</v>
      </c>
      <c r="T53" s="30" t="s">
        <v>50</v>
      </c>
      <c r="U53" s="30"/>
      <c r="V53" s="30"/>
      <c r="W53" s="30"/>
      <c r="X53" s="30" t="s">
        <v>43</v>
      </c>
      <c r="Y53" s="33" t="s">
        <v>166</v>
      </c>
      <c r="Z53" s="34">
        <v>27238621.030000001</v>
      </c>
      <c r="AA53" s="30" t="s">
        <v>13</v>
      </c>
      <c r="AB53" s="34"/>
      <c r="AC53" s="31"/>
      <c r="AD53" s="30"/>
      <c r="AE53" s="31"/>
      <c r="AF53" s="30"/>
      <c r="AG53" s="35">
        <v>0.13</v>
      </c>
      <c r="AH53" s="30">
        <v>0.12</v>
      </c>
      <c r="AI53" s="34">
        <v>0.14000000000000001</v>
      </c>
      <c r="AJ53" s="34"/>
      <c r="AK53" s="30"/>
      <c r="AL53" s="30"/>
      <c r="AM53" s="30"/>
      <c r="AN53" s="30"/>
    </row>
    <row r="54" spans="1:40" ht="16.5" hidden="1" customHeight="1" x14ac:dyDescent="0.45">
      <c r="A54" s="30"/>
      <c r="B54" s="30"/>
      <c r="C54" s="30" t="s">
        <v>59</v>
      </c>
      <c r="D54" s="30"/>
      <c r="E54" s="31" t="s">
        <v>42</v>
      </c>
      <c r="F54" s="32"/>
      <c r="G54" s="30" t="s">
        <v>150</v>
      </c>
      <c r="H54" s="30"/>
      <c r="I54" s="30"/>
      <c r="J54" s="30"/>
      <c r="K54" s="30"/>
      <c r="L54" s="30"/>
      <c r="M54" s="30" t="s">
        <v>48</v>
      </c>
      <c r="N54" s="30"/>
      <c r="O54" s="30"/>
      <c r="P54" s="30" t="s">
        <v>12</v>
      </c>
      <c r="Q54" s="30"/>
      <c r="R54" s="30"/>
      <c r="S54" s="30" t="s">
        <v>49</v>
      </c>
      <c r="T54" s="30" t="s">
        <v>50</v>
      </c>
      <c r="U54" s="30"/>
      <c r="V54" s="30"/>
      <c r="W54" s="30"/>
      <c r="X54" s="30" t="s">
        <v>43</v>
      </c>
      <c r="Y54" s="33" t="s">
        <v>166</v>
      </c>
      <c r="Z54" s="34">
        <v>26953932.140000001</v>
      </c>
      <c r="AA54" s="30" t="s">
        <v>13</v>
      </c>
      <c r="AB54" s="34"/>
      <c r="AC54" s="31"/>
      <c r="AD54" s="30"/>
      <c r="AE54" s="31"/>
      <c r="AF54" s="30"/>
      <c r="AG54" s="35">
        <v>0.13</v>
      </c>
      <c r="AH54" s="30">
        <v>0.12</v>
      </c>
      <c r="AI54" s="34">
        <v>0.14000000000000001</v>
      </c>
      <c r="AJ54" s="34"/>
      <c r="AK54" s="30"/>
      <c r="AL54" s="30"/>
      <c r="AM54" s="30"/>
      <c r="AN54" s="30"/>
    </row>
    <row r="55" spans="1:40" ht="16.5" hidden="1" customHeight="1" x14ac:dyDescent="0.45">
      <c r="A55" s="30"/>
      <c r="B55" s="30"/>
      <c r="C55" s="30" t="s">
        <v>128</v>
      </c>
      <c r="D55" s="30"/>
      <c r="E55" s="31" t="s">
        <v>51</v>
      </c>
      <c r="F55" s="32"/>
      <c r="G55" s="30" t="s">
        <v>150</v>
      </c>
      <c r="H55" s="30"/>
      <c r="I55" s="30"/>
      <c r="J55" s="30"/>
      <c r="K55" s="30"/>
      <c r="L55" s="30"/>
      <c r="M55" s="30" t="s">
        <v>34</v>
      </c>
      <c r="N55" s="30"/>
      <c r="O55" s="30"/>
      <c r="P55" s="30" t="s">
        <v>12</v>
      </c>
      <c r="Q55" s="30"/>
      <c r="R55" s="30"/>
      <c r="S55" s="30" t="s">
        <v>49</v>
      </c>
      <c r="T55" s="30" t="s">
        <v>50</v>
      </c>
      <c r="U55" s="30"/>
      <c r="V55" s="30"/>
      <c r="W55" s="30"/>
      <c r="X55" s="30" t="s">
        <v>43</v>
      </c>
      <c r="Y55" s="33" t="s">
        <v>166</v>
      </c>
      <c r="Z55" s="34">
        <v>26613591.629999999</v>
      </c>
      <c r="AA55" s="30" t="s">
        <v>13</v>
      </c>
      <c r="AB55" s="34"/>
      <c r="AC55" s="31"/>
      <c r="AD55" s="30"/>
      <c r="AE55" s="31"/>
      <c r="AF55" s="30"/>
      <c r="AG55" s="35">
        <v>0.13</v>
      </c>
      <c r="AH55" s="30">
        <v>0.12</v>
      </c>
      <c r="AI55" s="34">
        <v>0.14000000000000001</v>
      </c>
      <c r="AJ55" s="34"/>
      <c r="AK55" s="30"/>
      <c r="AL55" s="30"/>
      <c r="AM55" s="30"/>
      <c r="AN55" s="30"/>
    </row>
    <row r="56" spans="1:40" ht="16.5" hidden="1" customHeight="1" x14ac:dyDescent="0.45">
      <c r="A56" s="30"/>
      <c r="B56" s="30"/>
      <c r="C56" s="30" t="s">
        <v>60</v>
      </c>
      <c r="D56" s="30"/>
      <c r="E56" s="31" t="s">
        <v>42</v>
      </c>
      <c r="F56" s="32"/>
      <c r="G56" s="30" t="s">
        <v>150</v>
      </c>
      <c r="H56" s="30"/>
      <c r="I56" s="30"/>
      <c r="J56" s="30"/>
      <c r="K56" s="30"/>
      <c r="L56" s="30"/>
      <c r="M56" s="30" t="s">
        <v>48</v>
      </c>
      <c r="N56" s="30"/>
      <c r="O56" s="30"/>
      <c r="P56" s="30" t="s">
        <v>12</v>
      </c>
      <c r="Q56" s="30"/>
      <c r="R56" s="30"/>
      <c r="S56" s="30" t="s">
        <v>49</v>
      </c>
      <c r="T56" s="30" t="s">
        <v>50</v>
      </c>
      <c r="U56" s="30"/>
      <c r="V56" s="30"/>
      <c r="W56" s="30"/>
      <c r="X56" s="30" t="s">
        <v>43</v>
      </c>
      <c r="Y56" s="33" t="s">
        <v>166</v>
      </c>
      <c r="Z56" s="34">
        <v>25549583.699999999</v>
      </c>
      <c r="AA56" s="30" t="s">
        <v>13</v>
      </c>
      <c r="AB56" s="34"/>
      <c r="AC56" s="31"/>
      <c r="AD56" s="30"/>
      <c r="AE56" s="31"/>
      <c r="AF56" s="30"/>
      <c r="AG56" s="35">
        <v>0.13</v>
      </c>
      <c r="AH56" s="30">
        <v>0.12</v>
      </c>
      <c r="AI56" s="34">
        <v>0.14000000000000001</v>
      </c>
      <c r="AJ56" s="34"/>
      <c r="AK56" s="30"/>
      <c r="AL56" s="30"/>
      <c r="AM56" s="30"/>
      <c r="AN56" s="30"/>
    </row>
    <row r="57" spans="1:40" ht="16.5" hidden="1" customHeight="1" x14ac:dyDescent="0.45">
      <c r="A57" s="30"/>
      <c r="B57" s="30"/>
      <c r="C57" s="30" t="s">
        <v>142</v>
      </c>
      <c r="D57" s="30"/>
      <c r="E57" s="31" t="s">
        <v>139</v>
      </c>
      <c r="F57" s="32"/>
      <c r="G57" s="30" t="s">
        <v>150</v>
      </c>
      <c r="H57" s="30"/>
      <c r="I57" s="30"/>
      <c r="J57" s="30"/>
      <c r="K57" s="30"/>
      <c r="L57" s="30"/>
      <c r="M57" s="30" t="s">
        <v>34</v>
      </c>
      <c r="N57" s="30"/>
      <c r="O57" s="30"/>
      <c r="P57" s="30" t="s">
        <v>12</v>
      </c>
      <c r="Q57" s="30"/>
      <c r="R57" s="30"/>
      <c r="S57" s="30" t="s">
        <v>49</v>
      </c>
      <c r="T57" s="30" t="s">
        <v>50</v>
      </c>
      <c r="U57" s="30"/>
      <c r="V57" s="30"/>
      <c r="W57" s="30"/>
      <c r="X57" s="30" t="s">
        <v>43</v>
      </c>
      <c r="Y57" s="33" t="s">
        <v>166</v>
      </c>
      <c r="Z57" s="34">
        <v>25095831.379999999</v>
      </c>
      <c r="AA57" s="30" t="s">
        <v>13</v>
      </c>
      <c r="AB57" s="34"/>
      <c r="AC57" s="31"/>
      <c r="AD57" s="30"/>
      <c r="AE57" s="31"/>
      <c r="AF57" s="30"/>
      <c r="AG57" s="35">
        <v>0.13</v>
      </c>
      <c r="AH57" s="30">
        <v>0.12</v>
      </c>
      <c r="AI57" s="34">
        <v>0.14000000000000001</v>
      </c>
      <c r="AJ57" s="34"/>
      <c r="AK57" s="30"/>
      <c r="AL57" s="30"/>
      <c r="AM57" s="30"/>
      <c r="AN57" s="30"/>
    </row>
    <row r="58" spans="1:40" ht="16.5" hidden="1" customHeight="1" x14ac:dyDescent="0.45">
      <c r="A58" s="30"/>
      <c r="B58" s="30"/>
      <c r="C58" s="30" t="s">
        <v>126</v>
      </c>
      <c r="D58" s="30"/>
      <c r="E58" s="31" t="s">
        <v>51</v>
      </c>
      <c r="F58" s="32"/>
      <c r="G58" s="30" t="s">
        <v>35</v>
      </c>
      <c r="H58" s="30"/>
      <c r="I58" s="30"/>
      <c r="J58" s="30"/>
      <c r="K58" s="30"/>
      <c r="L58" s="30"/>
      <c r="M58" s="30" t="s">
        <v>125</v>
      </c>
      <c r="N58" s="30"/>
      <c r="O58" s="30"/>
      <c r="P58" s="30" t="s">
        <v>12</v>
      </c>
      <c r="Q58" s="30"/>
      <c r="R58" s="30"/>
      <c r="S58" s="30" t="s">
        <v>162</v>
      </c>
      <c r="T58" s="30" t="s">
        <v>4</v>
      </c>
      <c r="U58" s="30"/>
      <c r="V58" s="30"/>
      <c r="W58" s="30"/>
      <c r="X58" s="30" t="s">
        <v>43</v>
      </c>
      <c r="Y58" s="33" t="s">
        <v>166</v>
      </c>
      <c r="Z58" s="34">
        <v>23217813.600000001</v>
      </c>
      <c r="AA58" s="30" t="s">
        <v>13</v>
      </c>
      <c r="AB58" s="34"/>
      <c r="AC58" s="31"/>
      <c r="AD58" s="30"/>
      <c r="AE58" s="31"/>
      <c r="AF58" s="30"/>
      <c r="AG58" s="35">
        <v>0.13</v>
      </c>
      <c r="AH58" s="30">
        <v>0.12</v>
      </c>
      <c r="AI58" s="34">
        <v>0.14000000000000001</v>
      </c>
      <c r="AJ58" s="34"/>
      <c r="AK58" s="30"/>
      <c r="AL58" s="30"/>
      <c r="AM58" s="30"/>
      <c r="AN58" s="30"/>
    </row>
    <row r="59" spans="1:40" ht="16.5" hidden="1" customHeight="1" x14ac:dyDescent="0.45">
      <c r="A59" s="30"/>
      <c r="B59" s="30"/>
      <c r="C59" s="30" t="s">
        <v>129</v>
      </c>
      <c r="D59" s="30"/>
      <c r="E59" s="31" t="s">
        <v>51</v>
      </c>
      <c r="F59" s="32"/>
      <c r="G59" s="30" t="s">
        <v>150</v>
      </c>
      <c r="H59" s="30"/>
      <c r="I59" s="30"/>
      <c r="J59" s="30"/>
      <c r="K59" s="30"/>
      <c r="L59" s="30"/>
      <c r="M59" s="30" t="s">
        <v>34</v>
      </c>
      <c r="N59" s="30"/>
      <c r="O59" s="30"/>
      <c r="P59" s="30" t="s">
        <v>12</v>
      </c>
      <c r="Q59" s="30"/>
      <c r="R59" s="30"/>
      <c r="S59" s="30" t="s">
        <v>49</v>
      </c>
      <c r="T59" s="30" t="s">
        <v>50</v>
      </c>
      <c r="U59" s="30"/>
      <c r="V59" s="30"/>
      <c r="W59" s="30"/>
      <c r="X59" s="30" t="s">
        <v>43</v>
      </c>
      <c r="Y59" s="33" t="s">
        <v>166</v>
      </c>
      <c r="Z59" s="34">
        <v>23182365.18</v>
      </c>
      <c r="AA59" s="30" t="s">
        <v>13</v>
      </c>
      <c r="AB59" s="34"/>
      <c r="AC59" s="31"/>
      <c r="AD59" s="30"/>
      <c r="AE59" s="31"/>
      <c r="AF59" s="30"/>
      <c r="AG59" s="35">
        <v>0.13</v>
      </c>
      <c r="AH59" s="30">
        <v>0.12</v>
      </c>
      <c r="AI59" s="34">
        <v>0.14000000000000001</v>
      </c>
      <c r="AJ59" s="34"/>
      <c r="AK59" s="30"/>
      <c r="AL59" s="30"/>
      <c r="AM59" s="30"/>
      <c r="AN59" s="30"/>
    </row>
    <row r="60" spans="1:40" ht="16.5" hidden="1" customHeight="1" x14ac:dyDescent="0.45">
      <c r="A60" s="30"/>
      <c r="B60" s="30"/>
      <c r="C60" s="30" t="s">
        <v>56</v>
      </c>
      <c r="D60" s="30"/>
      <c r="E60" s="31" t="s">
        <v>42</v>
      </c>
      <c r="F60" s="32"/>
      <c r="G60" s="30" t="s">
        <v>150</v>
      </c>
      <c r="H60" s="30"/>
      <c r="I60" s="30"/>
      <c r="J60" s="30"/>
      <c r="K60" s="30"/>
      <c r="L60" s="30"/>
      <c r="M60" s="30" t="s">
        <v>48</v>
      </c>
      <c r="N60" s="30"/>
      <c r="O60" s="30"/>
      <c r="P60" s="30" t="s">
        <v>12</v>
      </c>
      <c r="Q60" s="30"/>
      <c r="R60" s="30"/>
      <c r="S60" s="30" t="s">
        <v>49</v>
      </c>
      <c r="T60" s="30" t="s">
        <v>50</v>
      </c>
      <c r="U60" s="30"/>
      <c r="V60" s="30"/>
      <c r="W60" s="30"/>
      <c r="X60" s="30" t="s">
        <v>43</v>
      </c>
      <c r="Y60" s="33" t="s">
        <v>166</v>
      </c>
      <c r="Z60" s="34">
        <v>22574881.699999999</v>
      </c>
      <c r="AA60" s="30" t="s">
        <v>13</v>
      </c>
      <c r="AB60" s="34"/>
      <c r="AC60" s="31"/>
      <c r="AD60" s="30"/>
      <c r="AE60" s="31"/>
      <c r="AF60" s="30"/>
      <c r="AG60" s="35">
        <v>0.13</v>
      </c>
      <c r="AH60" s="30">
        <v>0.12</v>
      </c>
      <c r="AI60" s="34">
        <v>0.14000000000000001</v>
      </c>
      <c r="AJ60" s="34"/>
      <c r="AK60" s="30"/>
      <c r="AL60" s="30"/>
      <c r="AM60" s="30"/>
      <c r="AN60" s="30"/>
    </row>
    <row r="61" spans="1:40" ht="16.5" hidden="1" customHeight="1" x14ac:dyDescent="0.45">
      <c r="A61" s="30"/>
      <c r="B61" s="30"/>
      <c r="C61" s="30" t="s">
        <v>58</v>
      </c>
      <c r="D61" s="30"/>
      <c r="E61" s="31" t="s">
        <v>42</v>
      </c>
      <c r="F61" s="32"/>
      <c r="G61" s="30" t="s">
        <v>35</v>
      </c>
      <c r="H61" s="30"/>
      <c r="I61" s="30"/>
      <c r="J61" s="30"/>
      <c r="K61" s="30"/>
      <c r="L61" s="30"/>
      <c r="M61" s="30" t="s">
        <v>57</v>
      </c>
      <c r="N61" s="30"/>
      <c r="O61" s="30"/>
      <c r="P61" s="30" t="s">
        <v>12</v>
      </c>
      <c r="Q61" s="30"/>
      <c r="R61" s="30"/>
      <c r="S61" s="30" t="s">
        <v>163</v>
      </c>
      <c r="T61" s="30" t="s">
        <v>4</v>
      </c>
      <c r="U61" s="30"/>
      <c r="V61" s="30"/>
      <c r="W61" s="30"/>
      <c r="X61" s="30" t="s">
        <v>43</v>
      </c>
      <c r="Y61" s="33" t="s">
        <v>166</v>
      </c>
      <c r="Z61" s="34">
        <v>22400188.23</v>
      </c>
      <c r="AA61" s="30" t="s">
        <v>13</v>
      </c>
      <c r="AB61" s="34"/>
      <c r="AC61" s="31"/>
      <c r="AD61" s="30"/>
      <c r="AE61" s="31"/>
      <c r="AF61" s="30"/>
      <c r="AG61" s="35">
        <v>0.13</v>
      </c>
      <c r="AH61" s="30">
        <v>0.12</v>
      </c>
      <c r="AI61" s="34">
        <v>0.14000000000000001</v>
      </c>
      <c r="AJ61" s="34"/>
      <c r="AK61" s="30"/>
      <c r="AL61" s="30"/>
      <c r="AM61" s="30"/>
      <c r="AN61" s="30"/>
    </row>
    <row r="62" spans="1:40" ht="16.5" hidden="1" customHeight="1" x14ac:dyDescent="0.45">
      <c r="A62" s="30"/>
      <c r="B62" s="30"/>
      <c r="C62" s="30" t="s">
        <v>47</v>
      </c>
      <c r="D62" s="30"/>
      <c r="E62" s="31" t="s">
        <v>42</v>
      </c>
      <c r="F62" s="32"/>
      <c r="G62" s="30" t="s">
        <v>150</v>
      </c>
      <c r="H62" s="30"/>
      <c r="I62" s="30"/>
      <c r="J62" s="30"/>
      <c r="K62" s="30"/>
      <c r="L62" s="30"/>
      <c r="M62" s="30" t="s">
        <v>48</v>
      </c>
      <c r="N62" s="30"/>
      <c r="O62" s="30"/>
      <c r="P62" s="30" t="s">
        <v>12</v>
      </c>
      <c r="Q62" s="30"/>
      <c r="R62" s="30"/>
      <c r="S62" s="30" t="s">
        <v>49</v>
      </c>
      <c r="T62" s="30" t="s">
        <v>50</v>
      </c>
      <c r="U62" s="30"/>
      <c r="V62" s="30"/>
      <c r="W62" s="30"/>
      <c r="X62" s="30" t="s">
        <v>43</v>
      </c>
      <c r="Y62" s="33" t="s">
        <v>166</v>
      </c>
      <c r="Z62" s="34">
        <v>18905683.289999999</v>
      </c>
      <c r="AA62" s="30" t="s">
        <v>13</v>
      </c>
      <c r="AB62" s="34"/>
      <c r="AC62" s="31"/>
      <c r="AD62" s="30"/>
      <c r="AE62" s="31"/>
      <c r="AF62" s="30"/>
      <c r="AG62" s="35">
        <v>0.13</v>
      </c>
      <c r="AH62" s="30">
        <v>0.12</v>
      </c>
      <c r="AI62" s="34">
        <v>0.14000000000000001</v>
      </c>
      <c r="AJ62" s="34"/>
      <c r="AK62" s="30"/>
      <c r="AL62" s="30"/>
      <c r="AM62" s="30"/>
      <c r="AN62" s="30"/>
    </row>
    <row r="63" spans="1:40" ht="16.5" hidden="1" customHeight="1" x14ac:dyDescent="0.45">
      <c r="A63" s="30"/>
      <c r="B63" s="30"/>
      <c r="C63" s="30" t="s">
        <v>146</v>
      </c>
      <c r="D63" s="30"/>
      <c r="E63" s="31" t="s">
        <v>139</v>
      </c>
      <c r="F63" s="32"/>
      <c r="G63" s="30" t="s">
        <v>150</v>
      </c>
      <c r="H63" s="30"/>
      <c r="I63" s="30"/>
      <c r="J63" s="30"/>
      <c r="K63" s="30"/>
      <c r="L63" s="30"/>
      <c r="M63" s="30" t="s">
        <v>34</v>
      </c>
      <c r="N63" s="30"/>
      <c r="O63" s="30"/>
      <c r="P63" s="30" t="s">
        <v>12</v>
      </c>
      <c r="Q63" s="30"/>
      <c r="R63" s="30"/>
      <c r="S63" s="30" t="s">
        <v>49</v>
      </c>
      <c r="T63" s="30" t="s">
        <v>50</v>
      </c>
      <c r="U63" s="30"/>
      <c r="V63" s="30"/>
      <c r="W63" s="30"/>
      <c r="X63" s="30" t="s">
        <v>43</v>
      </c>
      <c r="Y63" s="33" t="s">
        <v>166</v>
      </c>
      <c r="Z63" s="34">
        <v>18045802.57</v>
      </c>
      <c r="AA63" s="30" t="s">
        <v>13</v>
      </c>
      <c r="AB63" s="34"/>
      <c r="AC63" s="31"/>
      <c r="AD63" s="30"/>
      <c r="AE63" s="31"/>
      <c r="AF63" s="30"/>
      <c r="AG63" s="35">
        <v>0.13</v>
      </c>
      <c r="AH63" s="30">
        <v>0.12</v>
      </c>
      <c r="AI63" s="34">
        <v>0.14000000000000001</v>
      </c>
      <c r="AJ63" s="34"/>
      <c r="AK63" s="30"/>
      <c r="AL63" s="30"/>
      <c r="AM63" s="30"/>
      <c r="AN63" s="30"/>
    </row>
    <row r="64" spans="1:40" ht="16.5" hidden="1" customHeight="1" x14ac:dyDescent="0.45">
      <c r="A64" s="30"/>
      <c r="B64" s="30"/>
      <c r="C64" s="30" t="s">
        <v>127</v>
      </c>
      <c r="D64" s="30"/>
      <c r="E64" s="31" t="s">
        <v>51</v>
      </c>
      <c r="F64" s="32"/>
      <c r="G64" s="30" t="s">
        <v>35</v>
      </c>
      <c r="H64" s="30"/>
      <c r="I64" s="30"/>
      <c r="J64" s="30"/>
      <c r="K64" s="30"/>
      <c r="L64" s="30"/>
      <c r="M64" s="30" t="s">
        <v>120</v>
      </c>
      <c r="N64" s="30"/>
      <c r="O64" s="30"/>
      <c r="P64" s="30" t="s">
        <v>12</v>
      </c>
      <c r="Q64" s="30"/>
      <c r="R64" s="30"/>
      <c r="S64" s="30" t="s">
        <v>164</v>
      </c>
      <c r="T64" s="30" t="s">
        <v>4</v>
      </c>
      <c r="U64" s="30"/>
      <c r="V64" s="30"/>
      <c r="W64" s="30"/>
      <c r="X64" s="30" t="s">
        <v>43</v>
      </c>
      <c r="Y64" s="33" t="s">
        <v>166</v>
      </c>
      <c r="Z64" s="34">
        <v>18000000</v>
      </c>
      <c r="AA64" s="30" t="s">
        <v>13</v>
      </c>
      <c r="AB64" s="34"/>
      <c r="AC64" s="31"/>
      <c r="AD64" s="30"/>
      <c r="AE64" s="31"/>
      <c r="AF64" s="30"/>
      <c r="AG64" s="35">
        <v>0.13</v>
      </c>
      <c r="AH64" s="30">
        <v>0.12</v>
      </c>
      <c r="AI64" s="34">
        <v>0.14000000000000001</v>
      </c>
      <c r="AJ64" s="34"/>
      <c r="AK64" s="30"/>
      <c r="AL64" s="30"/>
      <c r="AM64" s="30"/>
      <c r="AN64" s="30"/>
    </row>
    <row r="65" spans="1:40" ht="16.5" hidden="1" customHeight="1" x14ac:dyDescent="0.45">
      <c r="A65" s="30"/>
      <c r="B65" s="30"/>
      <c r="C65" s="30" t="s">
        <v>117</v>
      </c>
      <c r="D65" s="30"/>
      <c r="E65" s="31" t="s">
        <v>51</v>
      </c>
      <c r="F65" s="32"/>
      <c r="G65" s="30" t="s">
        <v>35</v>
      </c>
      <c r="H65" s="30"/>
      <c r="I65" s="30"/>
      <c r="J65" s="30"/>
      <c r="K65" s="30"/>
      <c r="L65" s="30"/>
      <c r="M65" s="30" t="s">
        <v>116</v>
      </c>
      <c r="N65" s="30"/>
      <c r="O65" s="30"/>
      <c r="P65" s="30" t="s">
        <v>12</v>
      </c>
      <c r="Q65" s="30"/>
      <c r="R65" s="30"/>
      <c r="S65" s="30" t="s">
        <v>165</v>
      </c>
      <c r="T65" s="30" t="s">
        <v>4</v>
      </c>
      <c r="U65" s="30"/>
      <c r="V65" s="30"/>
      <c r="W65" s="30"/>
      <c r="X65" s="30" t="s">
        <v>43</v>
      </c>
      <c r="Y65" s="33" t="s">
        <v>166</v>
      </c>
      <c r="Z65" s="34">
        <v>17000000</v>
      </c>
      <c r="AA65" s="30" t="s">
        <v>13</v>
      </c>
      <c r="AB65" s="34"/>
      <c r="AC65" s="31"/>
      <c r="AD65" s="30"/>
      <c r="AE65" s="31"/>
      <c r="AF65" s="30"/>
      <c r="AG65" s="35">
        <v>0.13</v>
      </c>
      <c r="AH65" s="30">
        <v>0.12</v>
      </c>
      <c r="AI65" s="34">
        <v>0.14000000000000001</v>
      </c>
      <c r="AJ65" s="34"/>
      <c r="AK65" s="30"/>
      <c r="AL65" s="30"/>
      <c r="AM65" s="30"/>
      <c r="AN65" s="30"/>
    </row>
    <row r="66" spans="1:40" ht="16.5" hidden="1" customHeight="1" x14ac:dyDescent="0.45">
      <c r="A66" s="30"/>
      <c r="B66" s="30"/>
      <c r="C66" s="30" t="s">
        <v>140</v>
      </c>
      <c r="D66" s="30"/>
      <c r="E66" s="31" t="s">
        <v>51</v>
      </c>
      <c r="F66" s="32"/>
      <c r="G66" s="30" t="s">
        <v>150</v>
      </c>
      <c r="H66" s="30"/>
      <c r="I66" s="30"/>
      <c r="J66" s="30"/>
      <c r="K66" s="30"/>
      <c r="L66" s="30"/>
      <c r="M66" s="30" t="s">
        <v>138</v>
      </c>
      <c r="N66" s="30"/>
      <c r="O66" s="30"/>
      <c r="P66" s="30" t="s">
        <v>12</v>
      </c>
      <c r="Q66" s="30"/>
      <c r="R66" s="30"/>
      <c r="S66" s="30" t="s">
        <v>44</v>
      </c>
      <c r="T66" s="30" t="s">
        <v>46</v>
      </c>
      <c r="U66" s="30"/>
      <c r="V66" s="30"/>
      <c r="W66" s="30"/>
      <c r="X66" s="30" t="s">
        <v>14</v>
      </c>
      <c r="Y66" s="33" t="s">
        <v>166</v>
      </c>
      <c r="Z66" s="34">
        <v>16691991.85</v>
      </c>
      <c r="AA66" s="30" t="s">
        <v>13</v>
      </c>
      <c r="AB66" s="34"/>
      <c r="AC66" s="31"/>
      <c r="AD66" s="30"/>
      <c r="AE66" s="31"/>
      <c r="AF66" s="30"/>
      <c r="AG66" s="35">
        <v>0.13</v>
      </c>
      <c r="AH66" s="30">
        <v>0.12</v>
      </c>
      <c r="AI66" s="34">
        <v>0.14000000000000001</v>
      </c>
      <c r="AJ66" s="34"/>
      <c r="AK66" s="30"/>
      <c r="AL66" s="30"/>
      <c r="AM66" s="30"/>
      <c r="AN66" s="30"/>
    </row>
    <row r="67" spans="1:40" ht="16.5" hidden="1" customHeight="1" x14ac:dyDescent="0.45">
      <c r="A67" s="30"/>
      <c r="B67" s="30"/>
      <c r="C67" s="30" t="s">
        <v>141</v>
      </c>
      <c r="D67" s="30"/>
      <c r="E67" s="31" t="s">
        <v>139</v>
      </c>
      <c r="F67" s="32"/>
      <c r="G67" s="30" t="s">
        <v>150</v>
      </c>
      <c r="H67" s="30"/>
      <c r="I67" s="30"/>
      <c r="J67" s="30"/>
      <c r="K67" s="30"/>
      <c r="L67" s="30"/>
      <c r="M67" s="30" t="s">
        <v>138</v>
      </c>
      <c r="N67" s="30"/>
      <c r="O67" s="30"/>
      <c r="P67" s="30" t="s">
        <v>12</v>
      </c>
      <c r="Q67" s="30"/>
      <c r="R67" s="30"/>
      <c r="S67" s="30" t="s">
        <v>44</v>
      </c>
      <c r="T67" s="30" t="s">
        <v>46</v>
      </c>
      <c r="U67" s="30"/>
      <c r="V67" s="30"/>
      <c r="W67" s="30"/>
      <c r="X67" s="30" t="s">
        <v>43</v>
      </c>
      <c r="Y67" s="33" t="s">
        <v>166</v>
      </c>
      <c r="Z67" s="34">
        <v>16691991.85</v>
      </c>
      <c r="AA67" s="30" t="s">
        <v>13</v>
      </c>
      <c r="AB67" s="34"/>
      <c r="AC67" s="31"/>
      <c r="AD67" s="30"/>
      <c r="AE67" s="31"/>
      <c r="AF67" s="30"/>
      <c r="AG67" s="35">
        <v>0.13</v>
      </c>
      <c r="AH67" s="30">
        <v>0.12</v>
      </c>
      <c r="AI67" s="34">
        <v>0.14000000000000001</v>
      </c>
      <c r="AJ67" s="34"/>
      <c r="AK67" s="30"/>
      <c r="AL67" s="30"/>
      <c r="AM67" s="30"/>
      <c r="AN67" s="30"/>
    </row>
    <row r="68" spans="1:40" ht="16.5" hidden="1" customHeight="1" x14ac:dyDescent="0.45">
      <c r="A68" s="30"/>
      <c r="B68" s="30"/>
      <c r="C68" s="30" t="s">
        <v>151</v>
      </c>
      <c r="D68" s="30"/>
      <c r="E68" s="31" t="s">
        <v>139</v>
      </c>
      <c r="F68" s="32"/>
      <c r="G68" s="30" t="s">
        <v>150</v>
      </c>
      <c r="H68" s="30"/>
      <c r="I68" s="30"/>
      <c r="J68" s="30"/>
      <c r="K68" s="30"/>
      <c r="L68" s="30"/>
      <c r="M68" s="30" t="s">
        <v>34</v>
      </c>
      <c r="N68" s="30"/>
      <c r="O68" s="30"/>
      <c r="P68" s="30" t="s">
        <v>12</v>
      </c>
      <c r="Q68" s="30"/>
      <c r="R68" s="30"/>
      <c r="S68" s="30" t="s">
        <v>49</v>
      </c>
      <c r="T68" s="30" t="s">
        <v>50</v>
      </c>
      <c r="U68" s="30"/>
      <c r="V68" s="30"/>
      <c r="W68" s="30"/>
      <c r="X68" s="30" t="s">
        <v>43</v>
      </c>
      <c r="Y68" s="33" t="s">
        <v>166</v>
      </c>
      <c r="Z68" s="34">
        <v>16637999.5</v>
      </c>
      <c r="AA68" s="30" t="s">
        <v>13</v>
      </c>
      <c r="AB68" s="34"/>
      <c r="AC68" s="31"/>
      <c r="AD68" s="30"/>
      <c r="AE68" s="31"/>
      <c r="AF68" s="30"/>
      <c r="AG68" s="35">
        <v>0.13</v>
      </c>
      <c r="AH68" s="30">
        <v>0.12</v>
      </c>
      <c r="AI68" s="34">
        <v>0.14000000000000001</v>
      </c>
      <c r="AJ68" s="34"/>
      <c r="AK68" s="30"/>
      <c r="AL68" s="30"/>
      <c r="AM68" s="30"/>
      <c r="AN68" s="30"/>
    </row>
  </sheetData>
  <autoFilter ref="A1:AN68" xr:uid="{00000000-0001-0000-0200-000000000000}">
    <filterColumn colId="19">
      <filters>
        <filter val="Client"/>
      </filters>
    </filterColumn>
    <filterColumn colId="23">
      <filters>
        <filter val="Sell"/>
      </filters>
    </filterColumn>
  </autoFilter>
  <phoneticPr fontId="1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Лист5"/>
  <dimension ref="A1:I15"/>
  <sheetViews>
    <sheetView tabSelected="1" workbookViewId="0">
      <selection activeCell="D19" sqref="D19"/>
    </sheetView>
  </sheetViews>
  <sheetFormatPr defaultColWidth="8.73046875" defaultRowHeight="14.25" x14ac:dyDescent="0.45"/>
  <cols>
    <col min="1" max="1" width="15.59765625" style="50" bestFit="1" customWidth="1"/>
    <col min="2" max="2" width="17.19921875" style="50" bestFit="1" customWidth="1"/>
    <col min="3" max="3" width="14.3984375" style="50" bestFit="1" customWidth="1"/>
    <col min="4" max="4" width="22.1328125" style="50" bestFit="1" customWidth="1"/>
    <col min="5" max="5" width="15.59765625" style="50" bestFit="1" customWidth="1"/>
    <col min="6" max="6" width="12.59765625" style="50" bestFit="1" customWidth="1"/>
    <col min="7" max="7" width="11.53125" style="50" bestFit="1" customWidth="1"/>
    <col min="8" max="8" width="11.19921875" style="50" bestFit="1" customWidth="1"/>
    <col min="9" max="16384" width="8.73046875" style="50"/>
  </cols>
  <sheetData>
    <row r="1" spans="1:9" s="49" customFormat="1" x14ac:dyDescent="0.45">
      <c r="A1" s="49" t="s">
        <v>17</v>
      </c>
      <c r="B1" s="49" t="s">
        <v>168</v>
      </c>
      <c r="C1" s="49" t="s">
        <v>18</v>
      </c>
      <c r="D1" s="49" t="s">
        <v>21</v>
      </c>
      <c r="E1" s="49" t="s">
        <v>172</v>
      </c>
      <c r="F1" s="49" t="s">
        <v>173</v>
      </c>
      <c r="G1" s="49" t="s">
        <v>20</v>
      </c>
      <c r="H1" s="49" t="s">
        <v>23</v>
      </c>
      <c r="I1" s="49" t="s">
        <v>176</v>
      </c>
    </row>
    <row r="2" spans="1:9" x14ac:dyDescent="0.45">
      <c r="A2" s="50" t="s">
        <v>1</v>
      </c>
      <c r="B2" s="50" t="s">
        <v>170</v>
      </c>
      <c r="C2" s="50" t="s">
        <v>2</v>
      </c>
      <c r="D2" s="50" t="s">
        <v>22</v>
      </c>
      <c r="E2" s="50" t="s">
        <v>6</v>
      </c>
      <c r="F2" s="50" t="s">
        <v>166</v>
      </c>
      <c r="G2" s="51">
        <v>100</v>
      </c>
      <c r="H2" s="51">
        <v>20000000</v>
      </c>
      <c r="I2" s="50" t="s">
        <v>177</v>
      </c>
    </row>
    <row r="3" spans="1:9" x14ac:dyDescent="0.45">
      <c r="A3" s="50" t="s">
        <v>2</v>
      </c>
      <c r="B3" s="50" t="s">
        <v>169</v>
      </c>
      <c r="C3" s="50" t="s">
        <v>4</v>
      </c>
      <c r="D3" s="50" t="s">
        <v>15</v>
      </c>
      <c r="E3" s="50" t="s">
        <v>8</v>
      </c>
      <c r="F3" s="50" t="s">
        <v>13</v>
      </c>
    </row>
    <row r="4" spans="1:9" x14ac:dyDescent="0.45">
      <c r="A4" s="50" t="s">
        <v>31</v>
      </c>
      <c r="B4" s="50" t="s">
        <v>169</v>
      </c>
      <c r="C4" s="50" t="s">
        <v>5</v>
      </c>
      <c r="D4" s="50" t="s">
        <v>37</v>
      </c>
      <c r="E4" s="50" t="s">
        <v>33</v>
      </c>
      <c r="F4" s="50" t="s">
        <v>4</v>
      </c>
    </row>
    <row r="5" spans="1:9" x14ac:dyDescent="0.45">
      <c r="A5" s="50" t="s">
        <v>32</v>
      </c>
      <c r="B5" s="50" t="s">
        <v>171</v>
      </c>
      <c r="C5" s="50" t="s">
        <v>7</v>
      </c>
      <c r="D5" s="50" t="s">
        <v>0</v>
      </c>
      <c r="E5" s="50" t="s">
        <v>5</v>
      </c>
      <c r="F5" s="50" t="s">
        <v>36</v>
      </c>
    </row>
    <row r="6" spans="1:9" x14ac:dyDescent="0.45">
      <c r="A6" s="50" t="s">
        <v>3</v>
      </c>
      <c r="B6" s="50" t="s">
        <v>169</v>
      </c>
      <c r="C6" s="50" t="s">
        <v>11</v>
      </c>
      <c r="D6" s="50" t="s">
        <v>16</v>
      </c>
    </row>
    <row r="7" spans="1:9" x14ac:dyDescent="0.45">
      <c r="A7" s="50" t="s">
        <v>4</v>
      </c>
      <c r="B7" s="50" t="s">
        <v>169</v>
      </c>
      <c r="C7" s="52" t="s">
        <v>19</v>
      </c>
      <c r="D7" s="50" t="s">
        <v>39</v>
      </c>
    </row>
    <row r="8" spans="1:9" x14ac:dyDescent="0.45">
      <c r="A8" s="50" t="s">
        <v>33</v>
      </c>
      <c r="B8" s="50" t="s">
        <v>169</v>
      </c>
      <c r="C8" s="50" t="s">
        <v>9</v>
      </c>
      <c r="D8" s="50" t="s">
        <v>40</v>
      </c>
    </row>
    <row r="9" spans="1:9" x14ac:dyDescent="0.45">
      <c r="A9" s="50" t="s">
        <v>5</v>
      </c>
      <c r="B9" s="50" t="s">
        <v>169</v>
      </c>
      <c r="C9" s="50" t="s">
        <v>10</v>
      </c>
      <c r="D9" s="50" t="s">
        <v>41</v>
      </c>
    </row>
    <row r="10" spans="1:9" x14ac:dyDescent="0.45">
      <c r="A10" s="50" t="s">
        <v>6</v>
      </c>
      <c r="B10" s="50" t="s">
        <v>169</v>
      </c>
      <c r="C10" s="50" t="s">
        <v>31</v>
      </c>
      <c r="D10" s="50" t="s">
        <v>38</v>
      </c>
    </row>
    <row r="11" spans="1:9" x14ac:dyDescent="0.45">
      <c r="A11" s="50" t="s">
        <v>7</v>
      </c>
      <c r="B11" s="50" t="s">
        <v>169</v>
      </c>
      <c r="C11" s="52" t="s">
        <v>174</v>
      </c>
      <c r="D11" s="50" t="s">
        <v>175</v>
      </c>
    </row>
    <row r="12" spans="1:9" x14ac:dyDescent="0.45">
      <c r="A12" s="50" t="s">
        <v>8</v>
      </c>
      <c r="B12" s="50" t="s">
        <v>169</v>
      </c>
    </row>
    <row r="13" spans="1:9" x14ac:dyDescent="0.45">
      <c r="A13" s="50" t="s">
        <v>10</v>
      </c>
      <c r="B13" s="50" t="s">
        <v>171</v>
      </c>
    </row>
    <row r="14" spans="1:9" x14ac:dyDescent="0.45">
      <c r="A14" s="50" t="s">
        <v>9</v>
      </c>
      <c r="B14" s="50" t="s">
        <v>169</v>
      </c>
    </row>
    <row r="15" spans="1:9" x14ac:dyDescent="0.45">
      <c r="A15" s="50" t="s">
        <v>11</v>
      </c>
      <c r="B15" s="50" t="s">
        <v>169</v>
      </c>
    </row>
  </sheetData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4</vt:i4>
      </vt:variant>
    </vt:vector>
  </HeadingPairs>
  <TitlesOfParts>
    <vt:vector size="4" baseType="lpstr">
      <vt:lpstr>Report</vt:lpstr>
      <vt:lpstr>Filtered Deals</vt:lpstr>
      <vt:lpstr>AXIOMA Deals Bulk</vt:lpstr>
      <vt:lpstr>Param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Мусин Артур Рустамович</dc:creator>
  <cp:lastModifiedBy>Алексей Баранов</cp:lastModifiedBy>
  <dcterms:created xsi:type="dcterms:W3CDTF">2025-12-24T18:36:15Z</dcterms:created>
  <dcterms:modified xsi:type="dcterms:W3CDTF">2026-02-04T09:12:19Z</dcterms:modified>
</cp:coreProperties>
</file>