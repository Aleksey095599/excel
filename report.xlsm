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rt\"/>
    </mc:Choice>
  </mc:AlternateContent>
  <xr:revisionPtr revIDLastSave="0" documentId="8_{6D7A82B6-A74B-4678-8002-68AE75DD2232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Лист2" sheetId="2" r:id="rId1"/>
    <sheet name="Report" sheetId="4" r:id="rId2"/>
    <sheet name="History" sheetId="6" r:id="rId3"/>
    <sheet name="AXIOMA Deals" sheetId="3" r:id="rId4"/>
    <sheet name="Param" sheetId="5" r:id="rId5"/>
  </sheets>
  <definedNames>
    <definedName name="_xlnm._FilterDatabase" localSheetId="3" hidden="1">'AXIOMA Deals'!$A$1:$AN$1016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2" l="1"/>
  <c r="M33" i="2" s="1"/>
  <c r="N33" i="2" s="1"/>
  <c r="J4" i="4"/>
  <c r="L4" i="4" l="1"/>
  <c r="M4" i="4" s="1"/>
  <c r="K4" i="4"/>
  <c r="C7" i="2"/>
  <c r="E13" i="2"/>
  <c r="M35" i="2" l="1"/>
  <c r="N35" i="2" s="1"/>
  <c r="M34" i="2"/>
  <c r="N34" i="2" s="1"/>
  <c r="A43" i="2"/>
  <c r="E39" i="2" s="1"/>
  <c r="F39" i="2" s="1"/>
  <c r="E33" i="2"/>
  <c r="C26" i="2"/>
  <c r="E34" i="2" s="1"/>
  <c r="F25" i="2"/>
  <c r="D25" i="2"/>
  <c r="F4" i="2"/>
  <c r="E8" i="2"/>
  <c r="I15" i="2" s="1"/>
  <c r="J15" i="2" s="1"/>
  <c r="D7" i="2"/>
  <c r="E14" i="2"/>
  <c r="C6" i="2"/>
  <c r="C8" i="2" s="1"/>
  <c r="D8" i="2" s="1"/>
  <c r="D4" i="2"/>
  <c r="C27" i="2" l="1"/>
  <c r="E7" i="2"/>
  <c r="I14" i="2" s="1"/>
  <c r="E20" i="2"/>
  <c r="F20" i="2" s="1"/>
  <c r="G20" i="2" s="1"/>
  <c r="D26" i="2"/>
  <c r="E26" i="2" s="1"/>
  <c r="C9" i="2"/>
  <c r="D9" i="2" s="1"/>
  <c r="E9" i="2" s="1"/>
  <c r="E15" i="2"/>
  <c r="K15" i="2"/>
  <c r="E16" i="2"/>
  <c r="I16" i="2"/>
  <c r="J16" i="2" s="1"/>
  <c r="K16" i="2" s="1"/>
  <c r="J14" i="2"/>
  <c r="K14" i="2" s="1"/>
  <c r="D6" i="2"/>
  <c r="E6" i="2" s="1"/>
  <c r="I13" i="2" s="1"/>
  <c r="J13" i="2" s="1"/>
  <c r="K13" i="2" s="1"/>
  <c r="I33" i="2" l="1"/>
  <c r="J33" i="2" s="1"/>
  <c r="O33" i="2" s="1"/>
  <c r="D27" i="2"/>
  <c r="E27" i="2" s="1"/>
  <c r="I34" i="2" s="1"/>
  <c r="J34" i="2" s="1"/>
  <c r="C28" i="2"/>
  <c r="D28" i="2" s="1"/>
  <c r="E28" i="2" s="1"/>
  <c r="I35" i="2" s="1"/>
  <c r="J35" i="2" s="1"/>
  <c r="E35" i="2"/>
  <c r="K35" i="2"/>
  <c r="O35" i="2"/>
  <c r="K34" i="2" l="1"/>
  <c r="O34" i="2"/>
  <c r="C39" i="2"/>
  <c r="K33" i="2"/>
  <c r="G39" i="2"/>
  <c r="C43" i="2" s="1"/>
</calcChain>
</file>

<file path=xl/sharedStrings.xml><?xml version="1.0" encoding="utf-8"?>
<sst xmlns="http://schemas.openxmlformats.org/spreadsheetml/2006/main" count="212" uniqueCount="118">
  <si>
    <t xml:space="preserve">CNYRUB </t>
  </si>
  <si>
    <t>INRRUB</t>
  </si>
  <si>
    <t>CNYINR</t>
  </si>
  <si>
    <t>Сделка 1</t>
  </si>
  <si>
    <t>Сделки</t>
  </si>
  <si>
    <t>Имя</t>
  </si>
  <si>
    <t>Еврофин</t>
  </si>
  <si>
    <t>Сумма</t>
  </si>
  <si>
    <t>Маржа продажи</t>
  </si>
  <si>
    <t>Хеджирование</t>
  </si>
  <si>
    <t>прайсинг</t>
  </si>
  <si>
    <t>Курс продажи</t>
  </si>
  <si>
    <t>курс цб</t>
  </si>
  <si>
    <t>курс</t>
  </si>
  <si>
    <t>Итого к текущему ЦБ</t>
  </si>
  <si>
    <t>Сделка 2</t>
  </si>
  <si>
    <t>сделка 2</t>
  </si>
  <si>
    <t>Сделка 3</t>
  </si>
  <si>
    <t>Сделка 4</t>
  </si>
  <si>
    <t>Сделка 5</t>
  </si>
  <si>
    <t>Дата</t>
  </si>
  <si>
    <t>29.12.25</t>
  </si>
  <si>
    <t>Корабль</t>
  </si>
  <si>
    <t>Маржа Филиала</t>
  </si>
  <si>
    <t>спец</t>
  </si>
  <si>
    <t>Радиация</t>
  </si>
  <si>
    <t>разница в перекрытии</t>
  </si>
  <si>
    <t>Разница в перекрытии</t>
  </si>
  <si>
    <t>ИТОГО</t>
  </si>
  <si>
    <t>Средняя</t>
  </si>
  <si>
    <t>Ср. цена к ЦБ</t>
  </si>
  <si>
    <t>Спец</t>
  </si>
  <si>
    <t>29-30.12</t>
  </si>
  <si>
    <t>ИТОГо</t>
  </si>
  <si>
    <t>Наск</t>
  </si>
  <si>
    <t>DealUid</t>
  </si>
  <si>
    <t>TradeDate</t>
  </si>
  <si>
    <t>IsCancelled</t>
  </si>
  <si>
    <t>Client</t>
  </si>
  <si>
    <t>Inn</t>
  </si>
  <si>
    <t>Direction</t>
  </si>
  <si>
    <t>BaseCurrency</t>
  </si>
  <si>
    <t>BaseAmount</t>
  </si>
  <si>
    <t>ReferenceCurrency</t>
  </si>
  <si>
    <t>ReferenceAmount</t>
  </si>
  <si>
    <t>ClientRate</t>
  </si>
  <si>
    <t>BatchRate</t>
  </si>
  <si>
    <t>CbRate</t>
  </si>
  <si>
    <t>False</t>
  </si>
  <si>
    <t>Buy</t>
  </si>
  <si>
    <t>RUB</t>
  </si>
  <si>
    <t>Sell</t>
  </si>
  <si>
    <t>0.8785000000</t>
  </si>
  <si>
    <t>2cf74cf2-1864-498a-8df5-d7023e6c3b89</t>
  </si>
  <si>
    <t>7702070139</t>
  </si>
  <si>
    <t>0.8478880000</t>
  </si>
  <si>
    <t>553095f9-36a8-46d3-8514-b3a637275964</t>
  </si>
  <si>
    <t>9731112644</t>
  </si>
  <si>
    <t>b12bf939-dba8-4393-8d3f-153e5ce01f77</t>
  </si>
  <si>
    <t>0.8648000000</t>
  </si>
  <si>
    <t>0.8824000000</t>
  </si>
  <si>
    <t>0.8780000000</t>
  </si>
  <si>
    <t>ca1203cc-ebb7-4b5e-887d-2ded1d07646a</t>
  </si>
  <si>
    <t>2536205814</t>
  </si>
  <si>
    <t>7d8cff64-a602-4e8e-a427-a6ca6885635a</t>
  </si>
  <si>
    <t>7712040126</t>
  </si>
  <si>
    <t>9909012867</t>
  </si>
  <si>
    <t>d2295a91-037f-4e8f-8d68-b8e78ba4e6c8</t>
  </si>
  <si>
    <t>7720508094</t>
  </si>
  <si>
    <t>0.8758000000</t>
  </si>
  <si>
    <t>5c285914-7146-4e6f-ba67-a74de92ca047</t>
  </si>
  <si>
    <t>0.8515710000</t>
  </si>
  <si>
    <t>3003935d-b95b-40da-a51c-e31665bfc3a9</t>
  </si>
  <si>
    <t>0.8657250000</t>
  </si>
  <si>
    <t>a828dc34-5ac5-46dc-9b34-c1400b808e6a</t>
  </si>
  <si>
    <t>7703115760</t>
  </si>
  <si>
    <t>0.8798000000</t>
  </si>
  <si>
    <t>0.8755000000</t>
  </si>
  <si>
    <t>cc5f51ee-fc7f-4748-8d72-f7bd68870d19</t>
  </si>
  <si>
    <t>7723733387</t>
  </si>
  <si>
    <t>7ce1f002-2452-4d50-bb3c-1590bfb4c1e9</t>
  </si>
  <si>
    <t>aa081f29-ace3-47d9-9bf6-c4e0574c29a1</t>
  </si>
  <si>
    <t>7714732669</t>
  </si>
  <si>
    <t>0.8649000000</t>
  </si>
  <si>
    <t>969f6141-df91-472e-a236-386cad331fbd</t>
  </si>
  <si>
    <t>7717671799</t>
  </si>
  <si>
    <t>0.8488000000</t>
  </si>
  <si>
    <t>0.8706000000</t>
  </si>
  <si>
    <t>6ac3c390-18b4-48c3-9bbb-a8b7c0b24330</t>
  </si>
  <si>
    <t>9909610017</t>
  </si>
  <si>
    <t>Клиент_1</t>
  </si>
  <si>
    <t>Клиент_2</t>
  </si>
  <si>
    <t>Клиент_3</t>
  </si>
  <si>
    <t>Клиент_4</t>
  </si>
  <si>
    <t>Клиент_5</t>
  </si>
  <si>
    <t>Клиент_6</t>
  </si>
  <si>
    <t>Клиент_7</t>
  </si>
  <si>
    <t>Клиент_8</t>
  </si>
  <si>
    <t>Клиент_9</t>
  </si>
  <si>
    <t>Клиент_10</t>
  </si>
  <si>
    <t>Клиент_11</t>
  </si>
  <si>
    <t>Клиент_12</t>
  </si>
  <si>
    <t>Клиент_13</t>
  </si>
  <si>
    <t>Клиент_14</t>
  </si>
  <si>
    <t>hedge_cost</t>
  </si>
  <si>
    <t>Клиент</t>
  </si>
  <si>
    <t>Сумма, INR</t>
  </si>
  <si>
    <t>Сделка Аксиома</t>
  </si>
  <si>
    <t>Клиент Филиал</t>
  </si>
  <si>
    <t>Batch Аксиома</t>
  </si>
  <si>
    <t>Курс ЦБ</t>
  </si>
  <si>
    <t>Курсы INRRUB</t>
  </si>
  <si>
    <t>Хедж</t>
  </si>
  <si>
    <t>Учет хеджа</t>
  </si>
  <si>
    <t>Курс INRRUB в % от ЦБ</t>
  </si>
  <si>
    <t>CCY</t>
  </si>
  <si>
    <t>base_CCY</t>
  </si>
  <si>
    <t>ref_CCY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</si>
</sst>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0"/>
    <numFmt numFmtId="165" formatCode="0.0000%"/>
    <numFmt numFmtId="166" formatCode="dd\.mm\.yyyy"/>
    <numFmt numFmtId="167" formatCode="dd\.mm\.yyyy\ hh:mm"/>
    <numFmt numFmtId="168" formatCode="#,##0.00##;[Red]\-#,##0.00##"/>
    <numFmt numFmtId="169" formatCode="0.00000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</font>
    <font>
      <sz val="10"/>
      <color rgb="FF000000"/>
      <name val="Calibri"/>
    </font>
    <font>
      <b/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296DA5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10" fontId="0" fillId="0" borderId="0" xfId="0" applyNumberFormat="1"/>
    <xf numFmtId="0" fontId="3" fillId="3" borderId="9" xfId="0" applyFont="1" applyFill="1" applyBorder="1" applyAlignment="1">
      <alignment horizontal="center" vertical="center"/>
    </xf>
    <xf numFmtId="0" fontId="4" fillId="0" borderId="10" xfId="0" applyFont="1" applyBorder="1" applyAlignment="1">
      <alignment vertical="center"/>
    </xf>
    <xf numFmtId="166" fontId="4" fillId="0" borderId="10" xfId="0" applyNumberFormat="1" applyFont="1" applyBorder="1" applyAlignment="1">
      <alignment vertical="center"/>
    </xf>
    <xf numFmtId="167" fontId="4" fillId="0" borderId="10" xfId="0" applyNumberFormat="1" applyFont="1" applyBorder="1" applyAlignment="1">
      <alignment vertical="center"/>
    </xf>
    <xf numFmtId="168" fontId="4" fillId="0" borderId="10" xfId="0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69" fontId="0" fillId="0" borderId="1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4" fontId="2" fillId="5" borderId="11" xfId="0" applyNumberFormat="1" applyFont="1" applyFill="1" applyBorder="1" applyAlignment="1">
      <alignment horizontal="center" vertical="center"/>
    </xf>
    <xf numFmtId="169" fontId="2" fillId="5" borderId="11" xfId="0" applyNumberFormat="1" applyFont="1" applyFill="1" applyBorder="1" applyAlignment="1">
      <alignment horizontal="center" vertical="center"/>
    </xf>
    <xf numFmtId="10" fontId="2" fillId="5" borderId="11" xfId="0" applyNumberFormat="1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0" fontId="0" fillId="11" borderId="11" xfId="0" applyNumberForma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6" fillId="0" borderId="0" xfId="0" applyFont="1"/>
    <xf numFmtId="10" fontId="6" fillId="0" borderId="0" xfId="0" applyNumberFormat="1" applyFont="1"/>
    <xf numFmtId="164" fontId="6" fillId="0" borderId="0" xfId="0" applyNumberFormat="1" applyFont="1"/>
    <xf numFmtId="4" fontId="6" fillId="0" borderId="0" xfId="0" applyNumberFormat="1" applyFont="1"/>
    <xf numFmtId="0" fontId="6" fillId="4" borderId="0" xfId="0" applyFont="1" applyFill="1"/>
    <xf numFmtId="4" fontId="6" fillId="4" borderId="0" xfId="0" applyNumberFormat="1" applyFont="1" applyFill="1"/>
    <xf numFmtId="10" fontId="6" fillId="4" borderId="0" xfId="0" applyNumberFormat="1" applyFont="1" applyFill="1"/>
    <xf numFmtId="164" fontId="6" fillId="4" borderId="0" xfId="0" applyNumberFormat="1" applyFont="1" applyFill="1"/>
    <xf numFmtId="0" fontId="6" fillId="10" borderId="0" xfId="0" applyFont="1" applyFill="1"/>
    <xf numFmtId="4" fontId="6" fillId="10" borderId="0" xfId="0" applyNumberFormat="1" applyFont="1" applyFill="1"/>
    <xf numFmtId="10" fontId="6" fillId="10" borderId="0" xfId="0" applyNumberFormat="1" applyFont="1" applyFill="1"/>
    <xf numFmtId="164" fontId="6" fillId="10" borderId="0" xfId="0" applyNumberFormat="1" applyFont="1" applyFill="1"/>
    <xf numFmtId="165" fontId="6" fillId="10" borderId="0" xfId="0" applyNumberFormat="1" applyFont="1" applyFill="1"/>
    <xf numFmtId="165" fontId="6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0" xfId="0" applyFont="1" applyFill="1"/>
    <xf numFmtId="0" fontId="6" fillId="2" borderId="5" xfId="0" applyFont="1" applyFill="1" applyBorder="1"/>
    <xf numFmtId="4" fontId="6" fillId="2" borderId="6" xfId="0" applyNumberFormat="1" applyFont="1" applyFill="1" applyBorder="1"/>
    <xf numFmtId="164" fontId="6" fillId="2" borderId="7" xfId="0" applyNumberFormat="1" applyFont="1" applyFill="1" applyBorder="1"/>
    <xf numFmtId="10" fontId="6" fillId="2" borderId="8" xfId="0" applyNumberFormat="1" applyFont="1" applyFill="1" applyBorder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43"/>
  <sheetViews>
    <sheetView topLeftCell="A19" workbookViewId="0">
      <selection activeCell="J42" sqref="J42"/>
    </sheetView>
  </sheetViews>
  <sheetFormatPr defaultColWidth="9.1796875" defaultRowHeight="14.5" x14ac:dyDescent="0.35"/>
  <cols>
    <col min="1" max="1" width="15.81640625" style="26" bestFit="1" customWidth="1"/>
    <col min="2" max="2" width="11.54296875" style="26" customWidth="1"/>
    <col min="3" max="3" width="15" style="26" bestFit="1" customWidth="1"/>
    <col min="4" max="4" width="16" style="26" bestFit="1" customWidth="1"/>
    <col min="5" max="5" width="22" style="26" bestFit="1" customWidth="1"/>
    <col min="6" max="6" width="16" style="26" customWidth="1"/>
    <col min="7" max="7" width="16" style="26" bestFit="1" customWidth="1"/>
    <col min="8" max="8" width="14.81640625" style="26" bestFit="1" customWidth="1"/>
    <col min="9" max="9" width="22" style="26" bestFit="1" customWidth="1"/>
    <col min="10" max="10" width="21.54296875" style="26" bestFit="1" customWidth="1"/>
    <col min="11" max="11" width="12.26953125" style="26" customWidth="1"/>
    <col min="12" max="12" width="9.1796875" style="26" customWidth="1"/>
    <col min="13" max="13" width="15" style="26" bestFit="1" customWidth="1"/>
    <col min="14" max="16384" width="9.1796875" style="26"/>
  </cols>
  <sheetData>
    <row r="1" spans="1:11" x14ac:dyDescent="0.35">
      <c r="A1" s="26" t="s">
        <v>20</v>
      </c>
      <c r="B1" s="26" t="s">
        <v>21</v>
      </c>
    </row>
    <row r="3" spans="1:11" x14ac:dyDescent="0.35">
      <c r="B3" s="26" t="s">
        <v>0</v>
      </c>
      <c r="C3" s="26" t="s">
        <v>1</v>
      </c>
      <c r="D3" s="26" t="s">
        <v>2</v>
      </c>
      <c r="G3" s="27"/>
    </row>
    <row r="4" spans="1:11" x14ac:dyDescent="0.35">
      <c r="A4" s="26" t="s">
        <v>12</v>
      </c>
      <c r="B4" s="28">
        <v>11.0449</v>
      </c>
      <c r="C4" s="28">
        <v>0.86488500000000001</v>
      </c>
      <c r="D4" s="28">
        <f>B4/C4</f>
        <v>12.770368314862669</v>
      </c>
      <c r="E4" s="26" t="s">
        <v>26</v>
      </c>
      <c r="F4" s="26">
        <f>C4*0.99</f>
        <v>0.85623614999999997</v>
      </c>
    </row>
    <row r="5" spans="1:11" x14ac:dyDescent="0.35">
      <c r="B5" s="28"/>
      <c r="C5" s="28"/>
      <c r="D5" s="28"/>
    </row>
    <row r="6" spans="1:11" x14ac:dyDescent="0.35">
      <c r="A6" s="26" t="s">
        <v>3</v>
      </c>
      <c r="B6" s="28">
        <v>11.08</v>
      </c>
      <c r="C6" s="28">
        <f>C4</f>
        <v>0.86488500000000001</v>
      </c>
      <c r="D6" s="28">
        <f>B6/C6</f>
        <v>12.810951745029685</v>
      </c>
      <c r="E6" s="27">
        <f>D6/D4-100%</f>
        <v>3.1779373285407697E-3</v>
      </c>
      <c r="F6" s="27"/>
    </row>
    <row r="7" spans="1:11" x14ac:dyDescent="0.35">
      <c r="A7" s="26" t="s">
        <v>15</v>
      </c>
      <c r="B7" s="28">
        <v>11.09</v>
      </c>
      <c r="C7" s="28">
        <f>C4</f>
        <v>0.86488500000000001</v>
      </c>
      <c r="D7" s="28">
        <f>B7/C7</f>
        <v>12.822513975846499</v>
      </c>
      <c r="E7" s="27">
        <f>D7/D4-100%</f>
        <v>4.0833325788374175E-3</v>
      </c>
      <c r="F7" s="27"/>
    </row>
    <row r="8" spans="1:11" x14ac:dyDescent="0.35">
      <c r="A8" s="26" t="s">
        <v>17</v>
      </c>
      <c r="B8" s="28">
        <v>11.083</v>
      </c>
      <c r="C8" s="28">
        <f t="shared" ref="C8:C9" si="0">C6</f>
        <v>0.86488500000000001</v>
      </c>
      <c r="D8" s="28">
        <f t="shared" ref="D8:D9" si="1">B8/C8</f>
        <v>12.81442041427473</v>
      </c>
      <c r="E8" s="27">
        <f>D8/D4-100%</f>
        <v>3.4495559036298307E-3</v>
      </c>
      <c r="F8" s="27"/>
    </row>
    <row r="9" spans="1:11" x14ac:dyDescent="0.35">
      <c r="A9" s="26" t="s">
        <v>18</v>
      </c>
      <c r="B9" s="28">
        <v>11.083</v>
      </c>
      <c r="C9" s="28">
        <f t="shared" si="0"/>
        <v>0.86488500000000001</v>
      </c>
      <c r="D9" s="28">
        <f t="shared" si="1"/>
        <v>12.81442041427473</v>
      </c>
      <c r="E9" s="27">
        <f>D9/D4-100%</f>
        <v>3.4495559036298307E-3</v>
      </c>
      <c r="F9" s="27"/>
    </row>
    <row r="10" spans="1:11" x14ac:dyDescent="0.35">
      <c r="B10" s="28"/>
      <c r="C10" s="28"/>
      <c r="D10" s="28"/>
      <c r="E10" s="27"/>
    </row>
    <row r="11" spans="1:11" x14ac:dyDescent="0.35">
      <c r="B11" s="28"/>
      <c r="C11" s="28"/>
      <c r="D11" s="28"/>
      <c r="E11" s="27"/>
    </row>
    <row r="12" spans="1:11" x14ac:dyDescent="0.35">
      <c r="A12" s="26" t="s">
        <v>4</v>
      </c>
      <c r="B12" s="26" t="s">
        <v>5</v>
      </c>
      <c r="C12" s="26" t="s">
        <v>7</v>
      </c>
      <c r="D12" s="26" t="s">
        <v>10</v>
      </c>
      <c r="E12" s="26" t="s">
        <v>11</v>
      </c>
      <c r="F12" s="26" t="s">
        <v>23</v>
      </c>
      <c r="G12" s="26" t="s">
        <v>8</v>
      </c>
      <c r="H12" s="26" t="s">
        <v>9</v>
      </c>
      <c r="I12" s="26" t="s">
        <v>27</v>
      </c>
      <c r="J12" s="26" t="s">
        <v>14</v>
      </c>
      <c r="K12" s="26" t="s">
        <v>13</v>
      </c>
    </row>
    <row r="13" spans="1:11" x14ac:dyDescent="0.35">
      <c r="A13" s="26" t="s">
        <v>3</v>
      </c>
      <c r="B13" s="26" t="s">
        <v>6</v>
      </c>
      <c r="C13" s="29">
        <v>27000000</v>
      </c>
      <c r="D13" s="27">
        <v>-0.01</v>
      </c>
      <c r="E13" s="28">
        <f>C4*(100%+D13)</f>
        <v>0.85623614999999997</v>
      </c>
      <c r="F13" s="28">
        <v>0</v>
      </c>
      <c r="G13" s="27">
        <v>5.0000000000000001E-3</v>
      </c>
      <c r="H13" s="27">
        <v>5.0000000000000001E-3</v>
      </c>
      <c r="I13" s="27">
        <f>E6</f>
        <v>3.1779373285407697E-3</v>
      </c>
      <c r="J13" s="27">
        <f>D13+G13+H13+I13</f>
        <v>3.1779373285407697E-3</v>
      </c>
      <c r="K13" s="28">
        <f>C4+C4*J13</f>
        <v>0.867633550326395</v>
      </c>
    </row>
    <row r="14" spans="1:11" s="30" customFormat="1" x14ac:dyDescent="0.35">
      <c r="A14" s="30" t="s">
        <v>16</v>
      </c>
      <c r="B14" s="30" t="s">
        <v>22</v>
      </c>
      <c r="C14" s="31">
        <v>295270768.04000002</v>
      </c>
      <c r="D14" s="32">
        <v>-1.4999999999999999E-2</v>
      </c>
      <c r="E14" s="33">
        <f>C4+C4*D14</f>
        <v>0.85191172500000001</v>
      </c>
      <c r="F14" s="32">
        <v>5.0000000000000001E-4</v>
      </c>
      <c r="G14" s="32">
        <v>5.0000000000000001E-3</v>
      </c>
      <c r="H14" s="32">
        <v>5.0000000000000001E-3</v>
      </c>
      <c r="I14" s="32">
        <f>E7</f>
        <v>4.0833325788374175E-3</v>
      </c>
      <c r="J14" s="32">
        <f>D14+F14+G14+H14+I14</f>
        <v>-4.1666742116258041E-4</v>
      </c>
      <c r="K14" s="33">
        <f>C6+C6*J14</f>
        <v>0.86452463059744777</v>
      </c>
    </row>
    <row r="15" spans="1:11" x14ac:dyDescent="0.35">
      <c r="A15" s="26" t="s">
        <v>17</v>
      </c>
      <c r="B15" s="26" t="s">
        <v>24</v>
      </c>
      <c r="C15" s="29">
        <v>32838807.75</v>
      </c>
      <c r="D15" s="27">
        <v>-0.03</v>
      </c>
      <c r="E15" s="28">
        <f>C6+C6*D15</f>
        <v>0.83893845</v>
      </c>
      <c r="F15" s="27">
        <v>5.0000000000000001E-3</v>
      </c>
      <c r="G15" s="27">
        <v>5.0000000000000001E-3</v>
      </c>
      <c r="H15" s="27">
        <v>5.0000000000000001E-3</v>
      </c>
      <c r="I15" s="27">
        <f t="shared" ref="I15:I16" si="2">E8</f>
        <v>3.4495559036298307E-3</v>
      </c>
      <c r="J15" s="27">
        <f t="shared" ref="J15:J16" si="3">D15+F15+G15+H15+I15</f>
        <v>-1.1550444096370165E-2</v>
      </c>
      <c r="K15" s="28">
        <f t="shared" ref="K15:K16" si="4">C7+C7*J15</f>
        <v>0.85489519415771087</v>
      </c>
    </row>
    <row r="16" spans="1:11" x14ac:dyDescent="0.35">
      <c r="A16" s="26" t="s">
        <v>18</v>
      </c>
      <c r="B16" s="26" t="s">
        <v>25</v>
      </c>
      <c r="C16" s="29">
        <v>19307281.690000001</v>
      </c>
      <c r="D16" s="27">
        <v>-1.7500000000000002E-2</v>
      </c>
      <c r="E16" s="28">
        <f>C7+C7*D16</f>
        <v>0.84974951249999997</v>
      </c>
      <c r="F16" s="27">
        <v>5.0000000000000001E-4</v>
      </c>
      <c r="G16" s="27">
        <v>5.0000000000000001E-3</v>
      </c>
      <c r="H16" s="27">
        <v>5.0000000000000001E-3</v>
      </c>
      <c r="I16" s="27">
        <f t="shared" si="2"/>
        <v>3.4495559036298307E-3</v>
      </c>
      <c r="J16" s="27">
        <f t="shared" si="3"/>
        <v>-3.5504440963701695E-3</v>
      </c>
      <c r="K16" s="28">
        <f t="shared" si="4"/>
        <v>0.86181427415771095</v>
      </c>
    </row>
    <row r="17" spans="1:11" x14ac:dyDescent="0.35">
      <c r="A17" s="26" t="s">
        <v>19</v>
      </c>
    </row>
    <row r="19" spans="1:11" x14ac:dyDescent="0.35">
      <c r="A19" s="26" t="s">
        <v>28</v>
      </c>
      <c r="B19" s="26" t="s">
        <v>29</v>
      </c>
      <c r="C19" s="26" t="s">
        <v>30</v>
      </c>
    </row>
    <row r="20" spans="1:11" x14ac:dyDescent="0.35">
      <c r="A20" s="29">
        <v>374416857.48000002</v>
      </c>
      <c r="B20" s="26">
        <v>0.86376449389718901</v>
      </c>
      <c r="C20" s="27">
        <v>-1.2955550192348649E-3</v>
      </c>
      <c r="E20" s="29">
        <f>A43</f>
        <v>2061586429.5699999</v>
      </c>
      <c r="F20" s="26">
        <f>A20/E20</f>
        <v>0.18161589158214184</v>
      </c>
      <c r="G20" s="26">
        <f>C20*F20</f>
        <v>-2.352933799120589E-4</v>
      </c>
    </row>
    <row r="22" spans="1:11" x14ac:dyDescent="0.35">
      <c r="A22" s="26" t="s">
        <v>20</v>
      </c>
      <c r="B22" s="26" t="s">
        <v>21</v>
      </c>
    </row>
    <row r="24" spans="1:11" x14ac:dyDescent="0.35">
      <c r="B24" s="26" t="s">
        <v>0</v>
      </c>
      <c r="C24" s="26" t="s">
        <v>1</v>
      </c>
      <c r="D24" s="26" t="s">
        <v>2</v>
      </c>
      <c r="G24" s="27"/>
    </row>
    <row r="25" spans="1:11" x14ac:dyDescent="0.35">
      <c r="A25" s="26" t="s">
        <v>12</v>
      </c>
      <c r="B25" s="28">
        <v>11.0501</v>
      </c>
      <c r="C25" s="28">
        <v>0.86075100000000004</v>
      </c>
      <c r="D25" s="28">
        <f>B25/C25</f>
        <v>12.837742854786111</v>
      </c>
      <c r="E25" s="26" t="s">
        <v>26</v>
      </c>
      <c r="F25" s="26">
        <f>C25*0.99</f>
        <v>0.85214349</v>
      </c>
    </row>
    <row r="26" spans="1:11" x14ac:dyDescent="0.35">
      <c r="A26" s="26" t="s">
        <v>3</v>
      </c>
      <c r="B26" s="28">
        <v>11.08</v>
      </c>
      <c r="C26" s="28">
        <f>C25</f>
        <v>0.86075100000000004</v>
      </c>
      <c r="D26" s="28">
        <f>B26/C26</f>
        <v>12.87247996226551</v>
      </c>
      <c r="E26" s="27">
        <f>D26/D25-100%</f>
        <v>2.7058578655396737E-3</v>
      </c>
      <c r="F26" s="27"/>
    </row>
    <row r="27" spans="1:11" x14ac:dyDescent="0.35">
      <c r="A27" s="26" t="s">
        <v>15</v>
      </c>
      <c r="B27" s="28">
        <v>11.095000000000001</v>
      </c>
      <c r="C27" s="28">
        <f>C26</f>
        <v>0.86075100000000004</v>
      </c>
      <c r="D27" s="28">
        <f>B27/C27</f>
        <v>12.889906604813703</v>
      </c>
      <c r="E27" s="27">
        <f>D27/D25-100%</f>
        <v>4.0633116442385653E-3</v>
      </c>
      <c r="F27" s="27"/>
    </row>
    <row r="28" spans="1:11" x14ac:dyDescent="0.35">
      <c r="A28" s="26" t="s">
        <v>17</v>
      </c>
      <c r="B28" s="28">
        <v>11.153</v>
      </c>
      <c r="C28" s="28">
        <f>C27</f>
        <v>0.86075100000000004</v>
      </c>
      <c r="D28" s="28">
        <f>B28/C28</f>
        <v>12.957289622666718</v>
      </c>
      <c r="E28" s="27">
        <f>D28/D25-100%</f>
        <v>9.312132921873939E-3</v>
      </c>
      <c r="F28" s="27"/>
    </row>
    <row r="29" spans="1:11" x14ac:dyDescent="0.35">
      <c r="A29" s="26" t="s">
        <v>18</v>
      </c>
      <c r="B29" s="28"/>
      <c r="C29" s="28"/>
      <c r="D29" s="28"/>
      <c r="E29" s="27"/>
      <c r="F29" s="27"/>
    </row>
    <row r="30" spans="1:11" x14ac:dyDescent="0.35">
      <c r="B30" s="28"/>
      <c r="C30" s="28"/>
      <c r="D30" s="28"/>
      <c r="E30" s="27"/>
    </row>
    <row r="31" spans="1:11" x14ac:dyDescent="0.35">
      <c r="B31" s="28"/>
      <c r="C31" s="28"/>
      <c r="D31" s="28"/>
      <c r="E31" s="27"/>
    </row>
    <row r="32" spans="1:11" x14ac:dyDescent="0.35">
      <c r="A32" s="26" t="s">
        <v>4</v>
      </c>
      <c r="B32" s="26" t="s">
        <v>5</v>
      </c>
      <c r="C32" s="26" t="s">
        <v>7</v>
      </c>
      <c r="D32" s="26" t="s">
        <v>10</v>
      </c>
      <c r="E32" s="26" t="s">
        <v>11</v>
      </c>
      <c r="F32" s="26" t="s">
        <v>23</v>
      </c>
      <c r="G32" s="26" t="s">
        <v>8</v>
      </c>
      <c r="H32" s="26" t="s">
        <v>9</v>
      </c>
      <c r="I32" s="26" t="s">
        <v>27</v>
      </c>
      <c r="J32" s="26" t="s">
        <v>14</v>
      </c>
      <c r="K32" s="26" t="s">
        <v>13</v>
      </c>
    </row>
    <row r="33" spans="1:15" s="34" customFormat="1" x14ac:dyDescent="0.35">
      <c r="A33" s="34" t="s">
        <v>3</v>
      </c>
      <c r="B33" s="34" t="s">
        <v>31</v>
      </c>
      <c r="C33" s="35">
        <v>207778125.80000001</v>
      </c>
      <c r="D33" s="36">
        <v>-0.03</v>
      </c>
      <c r="E33" s="37">
        <f>C25*(100%+D33)</f>
        <v>0.83492847000000003</v>
      </c>
      <c r="F33" s="38">
        <v>5.0000000000000001E-3</v>
      </c>
      <c r="G33" s="36">
        <v>5.0000000000000001E-3</v>
      </c>
      <c r="H33" s="36">
        <v>5.0000000000000001E-3</v>
      </c>
      <c r="I33" s="36">
        <f>E26</f>
        <v>2.7058578655396737E-3</v>
      </c>
      <c r="J33" s="36">
        <f>D33+G33+H33+I33</f>
        <v>-1.7294142134460323E-2</v>
      </c>
      <c r="K33" s="37">
        <f>C25+C25*J33</f>
        <v>0.84586504986362121</v>
      </c>
      <c r="M33" s="35">
        <f>A39</f>
        <v>1687169572.0899999</v>
      </c>
      <c r="N33" s="34">
        <f>C33/M33</f>
        <v>0.12315189251701153</v>
      </c>
      <c r="O33" s="34">
        <f>J33*N33</f>
        <v>-2.1298063333169779E-3</v>
      </c>
    </row>
    <row r="34" spans="1:15" x14ac:dyDescent="0.35">
      <c r="A34" s="26" t="s">
        <v>16</v>
      </c>
      <c r="B34" s="26" t="s">
        <v>34</v>
      </c>
      <c r="C34" s="29">
        <v>100000000</v>
      </c>
      <c r="D34" s="27">
        <v>-0.03</v>
      </c>
      <c r="E34" s="28">
        <f>C26*(100%+D34)</f>
        <v>0.83492847000000003</v>
      </c>
      <c r="F34" s="39">
        <v>0</v>
      </c>
      <c r="G34" s="27">
        <v>5.0000000000000001E-3</v>
      </c>
      <c r="H34" s="27">
        <v>5.0000000000000001E-3</v>
      </c>
      <c r="I34" s="27">
        <f>E27</f>
        <v>4.0633116442385653E-3</v>
      </c>
      <c r="J34" s="27">
        <f>D34+G34+H34+I34</f>
        <v>-1.5936688355761432E-2</v>
      </c>
      <c r="K34" s="28">
        <f>C26+C26*J34</f>
        <v>0.84703347956108999</v>
      </c>
      <c r="M34" s="29">
        <f>A39</f>
        <v>1687169572.0899999</v>
      </c>
      <c r="N34" s="26">
        <f t="shared" ref="N34:N35" si="5">C34/M34</f>
        <v>5.927086503588605E-2</v>
      </c>
      <c r="O34" s="26">
        <f t="shared" ref="O34:O35" si="6">J34*N34</f>
        <v>-9.4458130465331256E-4</v>
      </c>
    </row>
    <row r="35" spans="1:15" x14ac:dyDescent="0.35">
      <c r="A35" s="26" t="s">
        <v>17</v>
      </c>
      <c r="B35" s="26" t="s">
        <v>25</v>
      </c>
      <c r="C35" s="29">
        <v>1379391446.29</v>
      </c>
      <c r="D35" s="27">
        <v>-1.7500000000000002E-2</v>
      </c>
      <c r="E35" s="28">
        <f>C27*(100%+D35)</f>
        <v>0.84568785750000008</v>
      </c>
      <c r="F35" s="39">
        <v>5.0000000000000001E-4</v>
      </c>
      <c r="G35" s="27">
        <v>5.0000000000000001E-3</v>
      </c>
      <c r="H35" s="27">
        <v>5.0000000000000001E-3</v>
      </c>
      <c r="I35" s="27">
        <f>E28</f>
        <v>9.312132921873939E-3</v>
      </c>
      <c r="J35" s="27">
        <f>D35+G35+H35+I35</f>
        <v>1.8121329218739385E-3</v>
      </c>
      <c r="K35" s="28">
        <f>C27+C27*J35</f>
        <v>0.86231079522463594</v>
      </c>
      <c r="M35" s="29">
        <f>A39</f>
        <v>1687169572.0899999</v>
      </c>
      <c r="N35" s="26">
        <f t="shared" si="5"/>
        <v>0.8175772424471025</v>
      </c>
      <c r="O35" s="26">
        <f t="shared" si="6"/>
        <v>1.4815586372133051E-3</v>
      </c>
    </row>
    <row r="36" spans="1:15" x14ac:dyDescent="0.35">
      <c r="A36" s="26" t="s">
        <v>18</v>
      </c>
      <c r="C36" s="29"/>
      <c r="D36" s="27"/>
      <c r="E36" s="28"/>
      <c r="F36" s="27"/>
      <c r="G36" s="27"/>
      <c r="H36" s="27"/>
      <c r="I36" s="27"/>
      <c r="J36" s="27"/>
      <c r="K36" s="28"/>
    </row>
    <row r="38" spans="1:15" x14ac:dyDescent="0.35">
      <c r="A38" s="26" t="s">
        <v>28</v>
      </c>
      <c r="C38" s="26" t="s">
        <v>30</v>
      </c>
    </row>
    <row r="39" spans="1:15" x14ac:dyDescent="0.35">
      <c r="A39" s="29">
        <f>SUM(C33:C36)</f>
        <v>1687169572.0899999</v>
      </c>
      <c r="B39" s="28"/>
      <c r="C39" s="27">
        <f>SUM(O33:O35)</f>
        <v>-1.5928290007569852E-3</v>
      </c>
      <c r="E39" s="29">
        <f>A43</f>
        <v>2061586429.5699999</v>
      </c>
      <c r="F39" s="26">
        <f>A39/E39</f>
        <v>0.81838410841785814</v>
      </c>
      <c r="G39" s="26">
        <f>C39*F39</f>
        <v>-1.3035459416466133E-3</v>
      </c>
    </row>
    <row r="40" spans="1:15" ht="15" thickBot="1" x14ac:dyDescent="0.4"/>
    <row r="41" spans="1:15" x14ac:dyDescent="0.35">
      <c r="A41" s="40" t="s">
        <v>32</v>
      </c>
      <c r="B41" s="41"/>
      <c r="C41" s="42"/>
    </row>
    <row r="42" spans="1:15" x14ac:dyDescent="0.35">
      <c r="A42" s="43" t="s">
        <v>33</v>
      </c>
      <c r="B42" s="44"/>
      <c r="C42" s="45" t="s">
        <v>30</v>
      </c>
    </row>
    <row r="43" spans="1:15" ht="15" thickBot="1" x14ac:dyDescent="0.4">
      <c r="A43" s="46">
        <f>A20+A39</f>
        <v>2061586429.5699999</v>
      </c>
      <c r="B43" s="47"/>
      <c r="C43" s="48">
        <f>G20+G39</f>
        <v>-1.5388393215586722E-3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M4"/>
  <sheetViews>
    <sheetView tabSelected="1" workbookViewId="0">
      <selection activeCell="G11" sqref="G11"/>
    </sheetView>
  </sheetViews>
  <sheetFormatPr defaultColWidth="9.1796875" defaultRowHeight="14.5" x14ac:dyDescent="0.35"/>
  <cols>
    <col min="1" max="1" width="9.1796875" style="7"/>
    <col min="2" max="2" width="10.7265625" style="7" bestFit="1" customWidth="1"/>
    <col min="3" max="3" width="7.54296875" style="7" bestFit="1" customWidth="1"/>
    <col min="4" max="4" width="13.54296875" style="8" bestFit="1" customWidth="1"/>
    <col min="5" max="5" width="8.54296875" style="9" bestFit="1" customWidth="1"/>
    <col min="6" max="6" width="6.1796875" style="14" bestFit="1" customWidth="1"/>
    <col min="7" max="7" width="15.26953125" style="7" bestFit="1" customWidth="1"/>
    <col min="8" max="8" width="16.26953125" style="7" bestFit="1" customWidth="1"/>
    <col min="9" max="9" width="14.453125" style="7" bestFit="1" customWidth="1"/>
    <col min="10" max="10" width="15.26953125" style="7" bestFit="1" customWidth="1"/>
    <col min="11" max="11" width="16.26953125" style="7" bestFit="1" customWidth="1"/>
    <col min="12" max="12" width="14.453125" style="7" bestFit="1" customWidth="1"/>
    <col min="13" max="13" width="11.54296875" style="7" bestFit="1" customWidth="1"/>
    <col min="14" max="16384" width="9.1796875" style="7"/>
  </cols>
  <sheetData>
    <row r="2" spans="2:13" x14ac:dyDescent="0.35">
      <c r="G2" s="49" t="s">
        <v>111</v>
      </c>
      <c r="H2" s="50"/>
      <c r="I2" s="51"/>
      <c r="J2" s="52" t="s">
        <v>114</v>
      </c>
      <c r="K2" s="53"/>
      <c r="L2" s="53"/>
      <c r="M2" s="54"/>
    </row>
    <row r="3" spans="2:13" x14ac:dyDescent="0.35">
      <c r="B3" s="16" t="s">
        <v>20</v>
      </c>
      <c r="C3" s="16" t="s">
        <v>105</v>
      </c>
      <c r="D3" s="17" t="s">
        <v>106</v>
      </c>
      <c r="E3" s="18" t="s">
        <v>110</v>
      </c>
      <c r="F3" s="19" t="s">
        <v>112</v>
      </c>
      <c r="G3" s="20" t="s">
        <v>108</v>
      </c>
      <c r="H3" s="21" t="s">
        <v>107</v>
      </c>
      <c r="I3" s="22" t="s">
        <v>109</v>
      </c>
      <c r="J3" s="20" t="s">
        <v>108</v>
      </c>
      <c r="K3" s="21" t="s">
        <v>107</v>
      </c>
      <c r="L3" s="22" t="s">
        <v>109</v>
      </c>
      <c r="M3" s="23" t="s">
        <v>113</v>
      </c>
    </row>
    <row r="4" spans="2:13" x14ac:dyDescent="0.35">
      <c r="B4" s="15">
        <v>46021</v>
      </c>
      <c r="C4" s="10"/>
      <c r="D4" s="11">
        <v>295270768.04000002</v>
      </c>
      <c r="E4" s="13">
        <v>0.86075100000000004</v>
      </c>
      <c r="F4" s="12">
        <v>5.0000000000000001E-3</v>
      </c>
      <c r="G4" s="25">
        <v>0.83493362299999996</v>
      </c>
      <c r="H4" s="10">
        <v>0.83913736699999997</v>
      </c>
      <c r="I4" s="10">
        <v>0.84550000000000003</v>
      </c>
      <c r="J4" s="24">
        <f>IF(G4="","",-($E4-G4)/$E4)</f>
        <v>-2.999401336739671E-2</v>
      </c>
      <c r="K4" s="12">
        <f>-($E4-H4)/$E4</f>
        <v>-2.5110203763922524E-2</v>
      </c>
      <c r="L4" s="12">
        <f>-($E4-I4)/$E4</f>
        <v>-1.7718248366833163E-2</v>
      </c>
      <c r="M4" s="12">
        <f>L4+F4</f>
        <v>-1.2718248366833163E-2</v>
      </c>
    </row>
  </sheetData>
  <mergeCells count="2">
    <mergeCell ref="G2:I2"/>
    <mergeCell ref="J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H26" sqref="H26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N15"/>
  <sheetViews>
    <sheetView topLeftCell="C1" workbookViewId="0">
      <selection activeCell="Z21" sqref="Z21"/>
    </sheetView>
  </sheetViews>
  <sheetFormatPr defaultColWidth="15.54296875" defaultRowHeight="14.5" x14ac:dyDescent="0.35"/>
  <cols>
    <col min="1" max="2" width="0" hidden="1" customWidth="1"/>
    <col min="3" max="3" width="35.7265625" bestFit="1" customWidth="1"/>
    <col min="4" max="4" width="0" hidden="1" customWidth="1"/>
    <col min="6" max="15" width="0" hidden="1" customWidth="1"/>
    <col min="16" max="16" width="11.1796875" bestFit="1" customWidth="1"/>
    <col min="17" max="18" width="0" hidden="1" customWidth="1"/>
    <col min="19" max="19" width="9.453125" bestFit="1" customWidth="1"/>
    <col min="20" max="22" width="0" hidden="1" customWidth="1"/>
    <col min="23" max="23" width="11" bestFit="1" customWidth="1"/>
    <col min="24" max="24" width="9.1796875" bestFit="1" customWidth="1"/>
    <col min="25" max="25" width="13.1796875" bestFit="1" customWidth="1"/>
    <col min="26" max="26" width="13.453125" bestFit="1" customWidth="1"/>
    <col min="27" max="27" width="18.26953125" bestFit="1" customWidth="1"/>
    <col min="28" max="28" width="17.54296875" bestFit="1" customWidth="1"/>
    <col min="29" max="31" width="0" hidden="1" customWidth="1"/>
    <col min="32" max="32" width="12.453125" bestFit="1" customWidth="1"/>
    <col min="33" max="33" width="9.81640625" bestFit="1" customWidth="1"/>
    <col min="34" max="34" width="0" hidden="1" customWidth="1"/>
    <col min="35" max="35" width="7.453125" bestFit="1" customWidth="1"/>
  </cols>
  <sheetData>
    <row r="1" spans="1:40" ht="16.5" customHeight="1" x14ac:dyDescent="0.35">
      <c r="A1" s="2"/>
      <c r="B1" s="2"/>
      <c r="C1" s="2" t="s">
        <v>35</v>
      </c>
      <c r="D1" s="2"/>
      <c r="E1" s="2" t="s">
        <v>36</v>
      </c>
      <c r="F1" s="2"/>
      <c r="G1" s="2"/>
      <c r="H1" s="2"/>
      <c r="I1" s="2"/>
      <c r="J1" s="2"/>
      <c r="K1" s="2"/>
      <c r="L1" s="2"/>
      <c r="M1" s="2"/>
      <c r="N1" s="2"/>
      <c r="O1" s="2"/>
      <c r="P1" s="2" t="s">
        <v>37</v>
      </c>
      <c r="Q1" s="2"/>
      <c r="R1" s="2"/>
      <c r="S1" s="2" t="s">
        <v>38</v>
      </c>
      <c r="T1" s="2"/>
      <c r="U1" s="2"/>
      <c r="V1" s="2"/>
      <c r="W1" s="2" t="s">
        <v>39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/>
      <c r="AD1" s="2"/>
      <c r="AE1" s="2"/>
      <c r="AF1" s="2" t="s">
        <v>45</v>
      </c>
      <c r="AG1" s="2" t="s">
        <v>46</v>
      </c>
      <c r="AH1" s="2"/>
      <c r="AI1" s="2" t="s">
        <v>47</v>
      </c>
      <c r="AJ1" s="2"/>
      <c r="AK1" s="2"/>
      <c r="AL1" s="2"/>
      <c r="AM1" s="2"/>
      <c r="AN1" s="2"/>
    </row>
    <row r="2" spans="1:40" ht="16.5" customHeight="1" x14ac:dyDescent="0.35">
      <c r="A2" s="3"/>
      <c r="B2" s="3"/>
      <c r="C2" s="3" t="s">
        <v>53</v>
      </c>
      <c r="D2" s="3"/>
      <c r="E2" s="4">
        <v>46034</v>
      </c>
      <c r="F2" s="5"/>
      <c r="G2" s="3"/>
      <c r="H2" s="3"/>
      <c r="I2" s="3"/>
      <c r="J2" s="3"/>
      <c r="K2" s="3"/>
      <c r="L2" s="3"/>
      <c r="M2" s="3"/>
      <c r="N2" s="3"/>
      <c r="O2" s="3"/>
      <c r="P2" s="3" t="s">
        <v>48</v>
      </c>
      <c r="Q2" s="3"/>
      <c r="R2" s="3"/>
      <c r="S2" s="3" t="s">
        <v>91</v>
      </c>
      <c r="T2" s="3"/>
      <c r="U2" s="3"/>
      <c r="V2" s="3"/>
      <c r="W2" s="3" t="s">
        <v>54</v>
      </c>
      <c r="X2" s="3" t="s">
        <v>51</v>
      </c>
      <c r="Y2" s="3" t="s">
        <v>115</v>
      </c>
      <c r="Z2" s="6">
        <v>777393696.10000002</v>
      </c>
      <c r="AA2" s="3" t="s">
        <v>50</v>
      </c>
      <c r="AB2" s="6">
        <v>659142786.20000005</v>
      </c>
      <c r="AC2" s="4"/>
      <c r="AD2" s="3"/>
      <c r="AE2" s="4"/>
      <c r="AF2" s="3" t="s">
        <v>55</v>
      </c>
      <c r="AG2" s="6">
        <v>0.85299999999999998</v>
      </c>
      <c r="AH2" s="3"/>
      <c r="AI2" s="6">
        <v>86.973699999999994</v>
      </c>
      <c r="AJ2" s="6"/>
      <c r="AK2" s="3"/>
      <c r="AL2" s="3"/>
      <c r="AM2" s="3"/>
      <c r="AN2" s="3"/>
    </row>
    <row r="3" spans="1:40" ht="16.5" customHeight="1" x14ac:dyDescent="0.35">
      <c r="A3" s="3"/>
      <c r="B3" s="3"/>
      <c r="C3" s="3" t="s">
        <v>58</v>
      </c>
      <c r="D3" s="3"/>
      <c r="E3" s="4">
        <v>46034</v>
      </c>
      <c r="F3" s="5"/>
      <c r="G3" s="3"/>
      <c r="H3" s="3"/>
      <c r="I3" s="3"/>
      <c r="J3" s="3"/>
      <c r="K3" s="3"/>
      <c r="L3" s="3"/>
      <c r="M3" s="3"/>
      <c r="N3" s="3"/>
      <c r="O3" s="3"/>
      <c r="P3" s="3" t="s">
        <v>48</v>
      </c>
      <c r="Q3" s="3"/>
      <c r="R3" s="3"/>
      <c r="S3" s="3" t="s">
        <v>92</v>
      </c>
      <c r="T3" s="3"/>
      <c r="U3" s="3"/>
      <c r="V3" s="3"/>
      <c r="W3" s="3" t="s">
        <v>54</v>
      </c>
      <c r="X3" s="3" t="s">
        <v>51</v>
      </c>
      <c r="Y3" s="3" t="s">
        <v>115</v>
      </c>
      <c r="Z3" s="6">
        <v>672666019</v>
      </c>
      <c r="AA3" s="3" t="s">
        <v>50</v>
      </c>
      <c r="AB3" s="6">
        <v>570345445.51999998</v>
      </c>
      <c r="AC3" s="4"/>
      <c r="AD3" s="3"/>
      <c r="AE3" s="4"/>
      <c r="AF3" s="3" t="s">
        <v>55</v>
      </c>
      <c r="AG3" s="6">
        <v>0.85299999999999998</v>
      </c>
      <c r="AH3" s="3"/>
      <c r="AI3" s="6">
        <v>86.973699999999994</v>
      </c>
      <c r="AJ3" s="6"/>
      <c r="AK3" s="3"/>
      <c r="AL3" s="3"/>
      <c r="AM3" s="3"/>
      <c r="AN3" s="3"/>
    </row>
    <row r="4" spans="1:40" ht="16.5" customHeight="1" x14ac:dyDescent="0.35">
      <c r="A4" s="3"/>
      <c r="B4" s="3"/>
      <c r="C4" s="3" t="s">
        <v>56</v>
      </c>
      <c r="D4" s="3"/>
      <c r="E4" s="4">
        <v>46034</v>
      </c>
      <c r="F4" s="5"/>
      <c r="G4" s="3"/>
      <c r="H4" s="3"/>
      <c r="I4" s="3"/>
      <c r="J4" s="3"/>
      <c r="K4" s="3"/>
      <c r="L4" s="3"/>
      <c r="M4" s="3"/>
      <c r="N4" s="3"/>
      <c r="O4" s="3"/>
      <c r="P4" s="3" t="s">
        <v>48</v>
      </c>
      <c r="Q4" s="3"/>
      <c r="R4" s="3"/>
      <c r="S4" s="3" t="s">
        <v>99</v>
      </c>
      <c r="T4" s="3"/>
      <c r="U4" s="3"/>
      <c r="V4" s="3"/>
      <c r="W4" s="3" t="s">
        <v>57</v>
      </c>
      <c r="X4" s="3" t="s">
        <v>49</v>
      </c>
      <c r="Y4" s="3" t="s">
        <v>115</v>
      </c>
      <c r="Z4" s="6">
        <v>86310287.650000006</v>
      </c>
      <c r="AA4" s="3" t="s">
        <v>50</v>
      </c>
      <c r="AB4" s="6">
        <v>75823587.700000003</v>
      </c>
      <c r="AC4" s="4"/>
      <c r="AD4" s="3"/>
      <c r="AE4" s="4"/>
      <c r="AF4" s="3" t="s">
        <v>52</v>
      </c>
      <c r="AG4" s="6">
        <v>0.86</v>
      </c>
      <c r="AH4" s="3"/>
      <c r="AI4" s="6">
        <v>86.973699999999994</v>
      </c>
      <c r="AJ4" s="6"/>
      <c r="AK4" s="3"/>
      <c r="AL4" s="3"/>
      <c r="AM4" s="3"/>
      <c r="AN4" s="3"/>
    </row>
    <row r="5" spans="1:40" ht="16.5" customHeight="1" x14ac:dyDescent="0.35">
      <c r="A5" s="3"/>
      <c r="B5" s="3"/>
      <c r="C5" s="3" t="s">
        <v>67</v>
      </c>
      <c r="D5" s="3"/>
      <c r="E5" s="4">
        <v>46035</v>
      </c>
      <c r="F5" s="5"/>
      <c r="G5" s="3"/>
      <c r="H5" s="3"/>
      <c r="I5" s="3"/>
      <c r="J5" s="3"/>
      <c r="K5" s="3"/>
      <c r="L5" s="3"/>
      <c r="M5" s="3"/>
      <c r="N5" s="3"/>
      <c r="O5" s="3"/>
      <c r="P5" s="3" t="s">
        <v>48</v>
      </c>
      <c r="Q5" s="3"/>
      <c r="R5" s="3"/>
      <c r="S5" s="3" t="s">
        <v>96</v>
      </c>
      <c r="T5" s="3"/>
      <c r="U5" s="3"/>
      <c r="V5" s="3"/>
      <c r="W5" s="3" t="s">
        <v>68</v>
      </c>
      <c r="X5" s="3" t="s">
        <v>49</v>
      </c>
      <c r="Y5" s="3" t="s">
        <v>115</v>
      </c>
      <c r="Z5" s="6">
        <v>282443863.20999998</v>
      </c>
      <c r="AA5" s="3" t="s">
        <v>50</v>
      </c>
      <c r="AB5" s="6">
        <v>247364335.40000001</v>
      </c>
      <c r="AC5" s="4"/>
      <c r="AD5" s="3"/>
      <c r="AE5" s="4"/>
      <c r="AF5" s="3" t="s">
        <v>69</v>
      </c>
      <c r="AG5" s="6">
        <v>0.86850000000000005</v>
      </c>
      <c r="AH5" s="3"/>
      <c r="AI5" s="6">
        <v>87.361599999999996</v>
      </c>
      <c r="AJ5" s="6"/>
      <c r="AK5" s="3"/>
      <c r="AL5" s="3"/>
      <c r="AM5" s="3"/>
      <c r="AN5" s="3"/>
    </row>
    <row r="6" spans="1:40" ht="16.5" customHeight="1" x14ac:dyDescent="0.35">
      <c r="A6" s="3"/>
      <c r="B6" s="3"/>
      <c r="C6" s="3" t="s">
        <v>62</v>
      </c>
      <c r="D6" s="3"/>
      <c r="E6" s="4">
        <v>46035</v>
      </c>
      <c r="F6" s="5"/>
      <c r="G6" s="3"/>
      <c r="H6" s="3"/>
      <c r="I6" s="3"/>
      <c r="J6" s="3"/>
      <c r="K6" s="3"/>
      <c r="L6" s="3"/>
      <c r="M6" s="3"/>
      <c r="N6" s="3"/>
      <c r="O6" s="3"/>
      <c r="P6" s="3" t="s">
        <v>48</v>
      </c>
      <c r="Q6" s="3"/>
      <c r="R6" s="3"/>
      <c r="S6" s="3" t="s">
        <v>98</v>
      </c>
      <c r="T6" s="3"/>
      <c r="U6" s="3"/>
      <c r="V6" s="3"/>
      <c r="W6" s="3" t="s">
        <v>63</v>
      </c>
      <c r="X6" s="3" t="s">
        <v>49</v>
      </c>
      <c r="Y6" s="3" t="s">
        <v>115</v>
      </c>
      <c r="Z6" s="6">
        <v>145701420</v>
      </c>
      <c r="AA6" s="3" t="s">
        <v>50</v>
      </c>
      <c r="AB6" s="6">
        <v>127925846.76000001</v>
      </c>
      <c r="AC6" s="4"/>
      <c r="AD6" s="3"/>
      <c r="AE6" s="4"/>
      <c r="AF6" s="3" t="s">
        <v>61</v>
      </c>
      <c r="AG6" s="6">
        <v>0.86850000000000005</v>
      </c>
      <c r="AH6" s="3"/>
      <c r="AI6" s="6">
        <v>87.361599999999996</v>
      </c>
      <c r="AJ6" s="6"/>
      <c r="AK6" s="3"/>
      <c r="AL6" s="3"/>
      <c r="AM6" s="3"/>
      <c r="AN6" s="3"/>
    </row>
    <row r="7" spans="1:40" ht="16.5" customHeight="1" x14ac:dyDescent="0.35">
      <c r="A7" s="3"/>
      <c r="B7" s="3"/>
      <c r="C7" s="3" t="s">
        <v>64</v>
      </c>
      <c r="D7" s="3"/>
      <c r="E7" s="4">
        <v>46035</v>
      </c>
      <c r="F7" s="5"/>
      <c r="G7" s="3"/>
      <c r="H7" s="3"/>
      <c r="I7" s="3"/>
      <c r="J7" s="3"/>
      <c r="K7" s="3"/>
      <c r="L7" s="3"/>
      <c r="M7" s="3"/>
      <c r="N7" s="3"/>
      <c r="O7" s="3"/>
      <c r="P7" s="3" t="s">
        <v>48</v>
      </c>
      <c r="Q7" s="3"/>
      <c r="R7" s="3"/>
      <c r="S7" s="3" t="s">
        <v>102</v>
      </c>
      <c r="T7" s="3"/>
      <c r="U7" s="3"/>
      <c r="V7" s="3"/>
      <c r="W7" s="3" t="s">
        <v>65</v>
      </c>
      <c r="X7" s="3" t="s">
        <v>49</v>
      </c>
      <c r="Y7" s="3" t="s">
        <v>115</v>
      </c>
      <c r="Z7" s="6">
        <v>35000000</v>
      </c>
      <c r="AA7" s="3" t="s">
        <v>50</v>
      </c>
      <c r="AB7" s="6">
        <v>30884000</v>
      </c>
      <c r="AC7" s="4"/>
      <c r="AD7" s="3"/>
      <c r="AE7" s="4"/>
      <c r="AF7" s="3" t="s">
        <v>60</v>
      </c>
      <c r="AG7" s="6">
        <v>0.86860000000000004</v>
      </c>
      <c r="AH7" s="3"/>
      <c r="AI7" s="6">
        <v>87.361599999999996</v>
      </c>
      <c r="AJ7" s="6"/>
      <c r="AK7" s="3"/>
      <c r="AL7" s="3"/>
      <c r="AM7" s="3"/>
      <c r="AN7" s="3"/>
    </row>
    <row r="8" spans="1:40" ht="16.5" customHeight="1" x14ac:dyDescent="0.35">
      <c r="A8" s="3"/>
      <c r="B8" s="3"/>
      <c r="C8" s="3" t="s">
        <v>70</v>
      </c>
      <c r="D8" s="3"/>
      <c r="E8" s="4">
        <v>46036</v>
      </c>
      <c r="F8" s="5"/>
      <c r="G8" s="3"/>
      <c r="H8" s="3"/>
      <c r="I8" s="3"/>
      <c r="J8" s="3"/>
      <c r="K8" s="3"/>
      <c r="L8" s="3"/>
      <c r="M8" s="3"/>
      <c r="N8" s="3"/>
      <c r="O8" s="3"/>
      <c r="P8" s="3" t="s">
        <v>48</v>
      </c>
      <c r="Q8" s="3"/>
      <c r="R8" s="3"/>
      <c r="S8" s="3" t="s">
        <v>90</v>
      </c>
      <c r="T8" s="3"/>
      <c r="U8" s="3"/>
      <c r="V8" s="3"/>
      <c r="W8" s="3" t="s">
        <v>54</v>
      </c>
      <c r="X8" s="3" t="s">
        <v>51</v>
      </c>
      <c r="Y8" s="3" t="s">
        <v>115</v>
      </c>
      <c r="Z8" s="6">
        <v>823687529</v>
      </c>
      <c r="AA8" s="3" t="s">
        <v>50</v>
      </c>
      <c r="AB8" s="6">
        <v>701428412.75999999</v>
      </c>
      <c r="AC8" s="4"/>
      <c r="AD8" s="3"/>
      <c r="AE8" s="4"/>
      <c r="AF8" s="3" t="s">
        <v>71</v>
      </c>
      <c r="AG8" s="6">
        <v>0.85668100000000003</v>
      </c>
      <c r="AH8" s="3"/>
      <c r="AI8" s="6">
        <v>87.354299999999995</v>
      </c>
      <c r="AJ8" s="6"/>
      <c r="AK8" s="3"/>
      <c r="AL8" s="3"/>
      <c r="AM8" s="3"/>
      <c r="AN8" s="3"/>
    </row>
    <row r="9" spans="1:40" ht="16.5" customHeight="1" x14ac:dyDescent="0.35">
      <c r="A9" s="3"/>
      <c r="B9" s="3"/>
      <c r="C9" s="3" t="s">
        <v>72</v>
      </c>
      <c r="D9" s="3"/>
      <c r="E9" s="4">
        <v>46036</v>
      </c>
      <c r="F9" s="5"/>
      <c r="G9" s="3"/>
      <c r="H9" s="3"/>
      <c r="I9" s="3"/>
      <c r="J9" s="3"/>
      <c r="K9" s="3"/>
      <c r="L9" s="3"/>
      <c r="M9" s="3"/>
      <c r="N9" s="3"/>
      <c r="O9" s="3"/>
      <c r="P9" s="3" t="s">
        <v>48</v>
      </c>
      <c r="Q9" s="3"/>
      <c r="R9" s="3"/>
      <c r="S9" s="3" t="s">
        <v>93</v>
      </c>
      <c r="T9" s="3"/>
      <c r="U9" s="3"/>
      <c r="V9" s="3"/>
      <c r="W9" s="3" t="s">
        <v>54</v>
      </c>
      <c r="X9" s="3" t="s">
        <v>51</v>
      </c>
      <c r="Y9" s="3" t="s">
        <v>115</v>
      </c>
      <c r="Z9" s="6">
        <v>465025313.93000001</v>
      </c>
      <c r="AA9" s="3" t="s">
        <v>50</v>
      </c>
      <c r="AB9" s="6">
        <v>402584039.89999998</v>
      </c>
      <c r="AC9" s="4"/>
      <c r="AD9" s="3"/>
      <c r="AE9" s="4"/>
      <c r="AF9" s="3" t="s">
        <v>73</v>
      </c>
      <c r="AG9" s="6">
        <v>0.87092000000000003</v>
      </c>
      <c r="AH9" s="3"/>
      <c r="AI9" s="6">
        <v>87.354299999999995</v>
      </c>
      <c r="AJ9" s="6"/>
      <c r="AK9" s="3"/>
      <c r="AL9" s="3"/>
      <c r="AM9" s="3"/>
      <c r="AN9" s="3"/>
    </row>
    <row r="10" spans="1:40" ht="16.5" customHeight="1" x14ac:dyDescent="0.35">
      <c r="A10" s="3"/>
      <c r="B10" s="3"/>
      <c r="C10" s="3" t="s">
        <v>74</v>
      </c>
      <c r="D10" s="3"/>
      <c r="E10" s="4">
        <v>46036</v>
      </c>
      <c r="F10" s="5"/>
      <c r="G10" s="3"/>
      <c r="H10" s="3"/>
      <c r="I10" s="3"/>
      <c r="J10" s="3"/>
      <c r="K10" s="3"/>
      <c r="L10" s="3"/>
      <c r="M10" s="3"/>
      <c r="N10" s="3"/>
      <c r="O10" s="3"/>
      <c r="P10" s="3" t="s">
        <v>48</v>
      </c>
      <c r="Q10" s="3"/>
      <c r="R10" s="3"/>
      <c r="S10" s="3" t="s">
        <v>100</v>
      </c>
      <c r="T10" s="3"/>
      <c r="U10" s="3"/>
      <c r="V10" s="3"/>
      <c r="W10" s="3" t="s">
        <v>75</v>
      </c>
      <c r="X10" s="3" t="s">
        <v>51</v>
      </c>
      <c r="Y10" s="3" t="s">
        <v>115</v>
      </c>
      <c r="Z10" s="6">
        <v>71000000</v>
      </c>
      <c r="AA10" s="3" t="s">
        <v>50</v>
      </c>
      <c r="AB10" s="6">
        <v>61400800</v>
      </c>
      <c r="AC10" s="4"/>
      <c r="AD10" s="3"/>
      <c r="AE10" s="4"/>
      <c r="AF10" s="3" t="s">
        <v>59</v>
      </c>
      <c r="AG10" s="6">
        <v>0.86480000000000001</v>
      </c>
      <c r="AH10" s="3"/>
      <c r="AI10" s="6">
        <v>87.354299999999995</v>
      </c>
      <c r="AJ10" s="6"/>
      <c r="AK10" s="3"/>
      <c r="AL10" s="3"/>
      <c r="AM10" s="3"/>
      <c r="AN10" s="3"/>
    </row>
    <row r="11" spans="1:40" ht="16.5" customHeight="1" x14ac:dyDescent="0.35">
      <c r="A11" s="3"/>
      <c r="B11" s="3"/>
      <c r="C11" s="3" t="s">
        <v>78</v>
      </c>
      <c r="D11" s="3"/>
      <c r="E11" s="4">
        <v>46037</v>
      </c>
      <c r="F11" s="5"/>
      <c r="G11" s="3"/>
      <c r="H11" s="3"/>
      <c r="I11" s="3"/>
      <c r="J11" s="3"/>
      <c r="K11" s="3"/>
      <c r="L11" s="3"/>
      <c r="M11" s="3"/>
      <c r="N11" s="3"/>
      <c r="O11" s="3"/>
      <c r="P11" s="3" t="s">
        <v>48</v>
      </c>
      <c r="Q11" s="3"/>
      <c r="R11" s="3"/>
      <c r="S11" s="3" t="s">
        <v>95</v>
      </c>
      <c r="T11" s="3"/>
      <c r="U11" s="3"/>
      <c r="V11" s="3"/>
      <c r="W11" s="3" t="s">
        <v>79</v>
      </c>
      <c r="X11" s="3" t="s">
        <v>49</v>
      </c>
      <c r="Y11" s="3" t="s">
        <v>115</v>
      </c>
      <c r="Z11" s="6">
        <v>342661336.38</v>
      </c>
      <c r="AA11" s="3" t="s">
        <v>50</v>
      </c>
      <c r="AB11" s="6">
        <v>300000000</v>
      </c>
      <c r="AC11" s="4"/>
      <c r="AD11" s="3"/>
      <c r="AE11" s="4"/>
      <c r="AF11" s="3" t="s">
        <v>77</v>
      </c>
      <c r="AG11" s="6">
        <v>0.86550000000000005</v>
      </c>
      <c r="AH11" s="3"/>
      <c r="AI11" s="6">
        <v>87.106099999999998</v>
      </c>
      <c r="AJ11" s="6"/>
      <c r="AK11" s="3"/>
      <c r="AL11" s="3"/>
      <c r="AM11" s="3"/>
      <c r="AN11" s="3"/>
    </row>
    <row r="12" spans="1:40" ht="16.5" customHeight="1" x14ac:dyDescent="0.35">
      <c r="A12" s="3"/>
      <c r="B12" s="3"/>
      <c r="C12" s="3" t="s">
        <v>81</v>
      </c>
      <c r="D12" s="3"/>
      <c r="E12" s="4">
        <v>46037</v>
      </c>
      <c r="F12" s="5"/>
      <c r="G12" s="3"/>
      <c r="H12" s="3"/>
      <c r="I12" s="3"/>
      <c r="J12" s="3"/>
      <c r="K12" s="3"/>
      <c r="L12" s="3"/>
      <c r="M12" s="3"/>
      <c r="N12" s="3"/>
      <c r="O12" s="3"/>
      <c r="P12" s="3" t="s">
        <v>48</v>
      </c>
      <c r="Q12" s="3"/>
      <c r="R12" s="3"/>
      <c r="S12" s="3" t="s">
        <v>101</v>
      </c>
      <c r="T12" s="3"/>
      <c r="U12" s="3"/>
      <c r="V12" s="3"/>
      <c r="W12" s="3" t="s">
        <v>82</v>
      </c>
      <c r="X12" s="3" t="s">
        <v>51</v>
      </c>
      <c r="Y12" s="3" t="s">
        <v>115</v>
      </c>
      <c r="Z12" s="6">
        <v>48689019</v>
      </c>
      <c r="AA12" s="3" t="s">
        <v>50</v>
      </c>
      <c r="AB12" s="6">
        <v>42111132.530000001</v>
      </c>
      <c r="AC12" s="4"/>
      <c r="AD12" s="3"/>
      <c r="AE12" s="4"/>
      <c r="AF12" s="3" t="s">
        <v>83</v>
      </c>
      <c r="AG12" s="6">
        <v>0.87150000000000005</v>
      </c>
      <c r="AH12" s="3"/>
      <c r="AI12" s="6">
        <v>87.106099999999998</v>
      </c>
      <c r="AJ12" s="6"/>
      <c r="AK12" s="3"/>
      <c r="AL12" s="3"/>
      <c r="AM12" s="3"/>
      <c r="AN12" s="3"/>
    </row>
    <row r="13" spans="1:40" ht="16.5" customHeight="1" x14ac:dyDescent="0.35">
      <c r="A13" s="3"/>
      <c r="B13" s="3"/>
      <c r="C13" s="3" t="s">
        <v>80</v>
      </c>
      <c r="D13" s="3"/>
      <c r="E13" s="4">
        <v>46037</v>
      </c>
      <c r="F13" s="5"/>
      <c r="G13" s="3"/>
      <c r="H13" s="3"/>
      <c r="I13" s="3"/>
      <c r="J13" s="3"/>
      <c r="K13" s="3"/>
      <c r="L13" s="3"/>
      <c r="M13" s="3"/>
      <c r="N13" s="3"/>
      <c r="O13" s="3"/>
      <c r="P13" s="3" t="s">
        <v>48</v>
      </c>
      <c r="Q13" s="3"/>
      <c r="R13" s="3"/>
      <c r="S13" s="3" t="s">
        <v>103</v>
      </c>
      <c r="T13" s="3"/>
      <c r="U13" s="3"/>
      <c r="V13" s="3"/>
      <c r="W13" s="3" t="s">
        <v>66</v>
      </c>
      <c r="X13" s="3" t="s">
        <v>49</v>
      </c>
      <c r="Y13" s="3" t="s">
        <v>115</v>
      </c>
      <c r="Z13" s="6">
        <v>30047925</v>
      </c>
      <c r="AA13" s="3" t="s">
        <v>50</v>
      </c>
      <c r="AB13" s="6">
        <v>26436164.420000002</v>
      </c>
      <c r="AC13" s="4"/>
      <c r="AD13" s="3"/>
      <c r="AE13" s="4"/>
      <c r="AF13" s="3" t="s">
        <v>76</v>
      </c>
      <c r="AG13" s="6">
        <v>0.86499999999999999</v>
      </c>
      <c r="AH13" s="3"/>
      <c r="AI13" s="6">
        <v>87.106099999999998</v>
      </c>
      <c r="AJ13" s="6"/>
      <c r="AK13" s="3"/>
      <c r="AL13" s="3"/>
      <c r="AM13" s="3"/>
      <c r="AN13" s="3"/>
    </row>
    <row r="14" spans="1:40" ht="16.5" customHeight="1" x14ac:dyDescent="0.35">
      <c r="A14" s="3"/>
      <c r="B14" s="3"/>
      <c r="C14" s="3" t="s">
        <v>84</v>
      </c>
      <c r="D14" s="3"/>
      <c r="E14" s="4">
        <v>46038</v>
      </c>
      <c r="F14" s="5"/>
      <c r="G14" s="3"/>
      <c r="H14" s="3"/>
      <c r="I14" s="3"/>
      <c r="J14" s="3"/>
      <c r="K14" s="3"/>
      <c r="L14" s="3"/>
      <c r="M14" s="3"/>
      <c r="N14" s="3"/>
      <c r="O14" s="3"/>
      <c r="P14" s="3" t="s">
        <v>48</v>
      </c>
      <c r="Q14" s="3"/>
      <c r="R14" s="3"/>
      <c r="S14" s="3" t="s">
        <v>94</v>
      </c>
      <c r="T14" s="3"/>
      <c r="U14" s="3"/>
      <c r="V14" s="3"/>
      <c r="W14" s="3" t="s">
        <v>85</v>
      </c>
      <c r="X14" s="3" t="s">
        <v>51</v>
      </c>
      <c r="Y14" s="3" t="s">
        <v>115</v>
      </c>
      <c r="Z14" s="6">
        <v>406801974</v>
      </c>
      <c r="AA14" s="3" t="s">
        <v>50</v>
      </c>
      <c r="AB14" s="6">
        <v>345293515.52999997</v>
      </c>
      <c r="AC14" s="4"/>
      <c r="AD14" s="3"/>
      <c r="AE14" s="4"/>
      <c r="AF14" s="3" t="s">
        <v>86</v>
      </c>
      <c r="AG14" s="6">
        <v>0.85899999999999999</v>
      </c>
      <c r="AH14" s="3"/>
      <c r="AI14" s="6">
        <v>87.058300000000003</v>
      </c>
      <c r="AJ14" s="6"/>
      <c r="AK14" s="3"/>
      <c r="AL14" s="3"/>
      <c r="AM14" s="3"/>
      <c r="AN14" s="3"/>
    </row>
    <row r="15" spans="1:40" ht="16.5" customHeight="1" x14ac:dyDescent="0.35">
      <c r="A15" s="3"/>
      <c r="B15" s="3"/>
      <c r="C15" s="3" t="s">
        <v>88</v>
      </c>
      <c r="D15" s="3"/>
      <c r="E15" s="4">
        <v>46038</v>
      </c>
      <c r="F15" s="5"/>
      <c r="G15" s="3"/>
      <c r="H15" s="3"/>
      <c r="I15" s="3"/>
      <c r="J15" s="3"/>
      <c r="K15" s="3"/>
      <c r="L15" s="3"/>
      <c r="M15" s="3"/>
      <c r="N15" s="3"/>
      <c r="O15" s="3"/>
      <c r="P15" s="3" t="s">
        <v>48</v>
      </c>
      <c r="Q15" s="3"/>
      <c r="R15" s="3"/>
      <c r="S15" s="3" t="s">
        <v>97</v>
      </c>
      <c r="T15" s="3"/>
      <c r="U15" s="3"/>
      <c r="V15" s="3"/>
      <c r="W15" s="3" t="s">
        <v>89</v>
      </c>
      <c r="X15" s="3" t="s">
        <v>51</v>
      </c>
      <c r="Y15" s="3" t="s">
        <v>115</v>
      </c>
      <c r="Z15" s="6">
        <v>278885063.55000001</v>
      </c>
      <c r="AA15" s="3" t="s">
        <v>50</v>
      </c>
      <c r="AB15" s="6">
        <v>242797336.33000001</v>
      </c>
      <c r="AC15" s="4"/>
      <c r="AD15" s="3"/>
      <c r="AE15" s="4"/>
      <c r="AF15" s="3" t="s">
        <v>87</v>
      </c>
      <c r="AG15" s="6">
        <v>0.875</v>
      </c>
      <c r="AH15" s="3"/>
      <c r="AI15" s="6">
        <v>87.058300000000003</v>
      </c>
      <c r="AJ15" s="6"/>
      <c r="AK15" s="3"/>
      <c r="AL15" s="3"/>
      <c r="AM15" s="3"/>
      <c r="AN1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3"/>
  <sheetViews>
    <sheetView workbookViewId="0">
      <selection activeCell="A2" sqref="A2"/>
    </sheetView>
  </sheetViews>
  <sheetFormatPr defaultRowHeight="14.5" x14ac:dyDescent="0.35"/>
  <cols>
    <col min="1" max="1" width="11.1796875" bestFit="1" customWidth="1"/>
    <col min="2" max="2" width="6.1796875" bestFit="1" customWidth="1"/>
  </cols>
  <sheetData>
    <row r="1" spans="1:2" x14ac:dyDescent="0.35">
      <c r="A1" t="s">
        <v>116</v>
      </c>
      <c r="B1" t="s">
        <v>115</v>
      </c>
    </row>
    <row r="2" spans="1:2" x14ac:dyDescent="0.35">
      <c r="A2" t="s">
        <v>117</v>
      </c>
      <c r="B2" t="s">
        <v>50</v>
      </c>
    </row>
    <row r="3" spans="1:2" x14ac:dyDescent="0.35">
      <c r="A3" t="s">
        <v>104</v>
      </c>
      <c r="B3" s="1">
        <v>5.0000000000000001E-3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Лист2</vt:lpstr>
      <vt:lpstr>Report</vt:lpstr>
      <vt:lpstr>History</vt:lpstr>
      <vt:lpstr>AXIOMA Deals</vt:lpstr>
      <vt:lpstr>Param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Мусин Артур Рустамович</dc:creator>
  <cp:lastModifiedBy>Алексей Баранов</cp:lastModifiedBy>
  <dcterms:created xsi:type="dcterms:W3CDTF">2025-12-24T18:36:15Z</dcterms:created>
  <dcterms:modified xsi:type="dcterms:W3CDTF">2026-01-19T19:28:30Z</dcterms:modified>
</cp:coreProperties>
</file>