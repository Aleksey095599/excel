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rt\"/>
    </mc:Choice>
  </mc:AlternateContent>
  <xr:revisionPtr revIDLastSave="0" documentId="13_ncr:1_{367B636A-A966-46D8-AC4F-8DB9407D5B6A}" xr6:coauthVersionLast="47" xr6:coauthVersionMax="47" xr10:uidLastSave="{00000000-0000-0000-0000-000000000000}"/>
  <bookViews>
    <workbookView xWindow="-110" yWindow="-110" windowWidth="38620" windowHeight="21100" activeTab="3" xr2:uid="{00000000-000D-0000-FFFF-FFFF00000000}"/>
  </bookViews>
  <sheets>
    <sheet name="Report" sheetId="4" r:id="rId1"/>
    <sheet name="History" sheetId="6" r:id="rId2"/>
    <sheet name="AXIOMA Deals" sheetId="3" r:id="rId3"/>
    <sheet name="Param" sheetId="5" r:id="rId4"/>
  </sheets>
  <functionGroups builtInGroupCount="19"/>
  <definedNames>
    <definedName name="_xlnm._FilterDatabase" localSheetId="2" hidden="1">'AXIOMA Deals'!$A$1:$AN$1010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4" l="1"/>
  <c r="J3" i="4"/>
  <c r="J4" i="4"/>
  <c r="J5" i="4"/>
  <c r="J6" i="4"/>
  <c r="J7" i="4"/>
  <c r="J8" i="4"/>
  <c r="J9" i="4"/>
  <c r="I2" i="4"/>
  <c r="I3" i="4"/>
  <c r="I4" i="4"/>
  <c r="I5" i="4"/>
  <c r="I6" i="4"/>
  <c r="I7" i="4"/>
  <c r="I8" i="4"/>
  <c r="I9" i="4"/>
  <c r="H2" i="4"/>
  <c r="H3" i="4"/>
  <c r="H4" i="4"/>
  <c r="H5" i="4"/>
  <c r="H6" i="4"/>
  <c r="H7" i="4"/>
  <c r="H8" i="4"/>
  <c r="H9" i="4"/>
</calcChain>
</file>

<file path=xl/sharedStrings.xml><?xml version="1.0" encoding="utf-8"?>
<sst xmlns="http://schemas.openxmlformats.org/spreadsheetml/2006/main" count="137" uniqueCount="66">
  <si>
    <t>Сумма</t>
  </si>
  <si>
    <t>DealUid</t>
  </si>
  <si>
    <t>TradeDate</t>
  </si>
  <si>
    <t>IsCancelled</t>
  </si>
  <si>
    <t>Client</t>
  </si>
  <si>
    <t>Inn</t>
  </si>
  <si>
    <t>Direction</t>
  </si>
  <si>
    <t>BaseCurrency</t>
  </si>
  <si>
    <t>BaseAmount</t>
  </si>
  <si>
    <t>ReferenceCurrency</t>
  </si>
  <si>
    <t>ReferenceAmount</t>
  </si>
  <si>
    <t>ClientRate</t>
  </si>
  <si>
    <t>BatchRate</t>
  </si>
  <si>
    <t>CbRate</t>
  </si>
  <si>
    <t>False</t>
  </si>
  <si>
    <t>RUB</t>
  </si>
  <si>
    <t>Sell</t>
  </si>
  <si>
    <t>2cf74cf2-1864-498a-8df5-d7023e6c3b89</t>
  </si>
  <si>
    <t>7702070139</t>
  </si>
  <si>
    <t>0.8478880000</t>
  </si>
  <si>
    <t>b12bf939-dba8-4393-8d3f-153e5ce01f77</t>
  </si>
  <si>
    <t>0.8648000000</t>
  </si>
  <si>
    <t>5c285914-7146-4e6f-ba67-a74de92ca047</t>
  </si>
  <si>
    <t>0.8515710000</t>
  </si>
  <si>
    <t>3003935d-b95b-40da-a51c-e31665bfc3a9</t>
  </si>
  <si>
    <t>0.8657250000</t>
  </si>
  <si>
    <t>a828dc34-5ac5-46dc-9b34-c1400b808e6a</t>
  </si>
  <si>
    <t>7703115760</t>
  </si>
  <si>
    <t>aa081f29-ace3-47d9-9bf6-c4e0574c29a1</t>
  </si>
  <si>
    <t>7714732669</t>
  </si>
  <si>
    <t>0.8649000000</t>
  </si>
  <si>
    <t>969f6141-df91-472e-a236-386cad331fbd</t>
  </si>
  <si>
    <t>7717671799</t>
  </si>
  <si>
    <t>0.8488000000</t>
  </si>
  <si>
    <t>0.8706000000</t>
  </si>
  <si>
    <t>6ac3c390-18b4-48c3-9bbb-a8b7c0b24330</t>
  </si>
  <si>
    <t>9909610017</t>
  </si>
  <si>
    <t>Клиент_1</t>
  </si>
  <si>
    <t>Клиент_2</t>
  </si>
  <si>
    <t>Клиент_3</t>
  </si>
  <si>
    <t>Клиент_4</t>
  </si>
  <si>
    <t>Клиент_5</t>
  </si>
  <si>
    <t>Клиент_8</t>
  </si>
  <si>
    <t>Клиент_11</t>
  </si>
  <si>
    <t>Клиент_12</t>
  </si>
  <si>
    <t>Клиент</t>
  </si>
  <si>
    <t>Курс ЦБ</t>
  </si>
  <si>
    <t>XXX</t>
  </si>
  <si>
    <t>hedge_cost</t>
  </si>
  <si>
    <t>axioma_columns</t>
  </si>
  <si>
    <t>base_CCY</t>
  </si>
  <si>
    <t>ref_CCY</t>
  </si>
  <si>
    <t>report_columns</t>
  </si>
  <si>
    <t>BranchClientRate</t>
  </si>
  <si>
    <t>cb_rate_mult</t>
  </si>
  <si>
    <t>BranchClientCbDelta</t>
  </si>
  <si>
    <t>AxiomaClientCbDelta</t>
  </si>
  <si>
    <t>AxiomaBatchCbDelta</t>
  </si>
  <si>
    <t>report_columns_frinendly</t>
  </si>
  <si>
    <t>Дата сделки</t>
  </si>
  <si>
    <t>Курс клиента в Филиале</t>
  </si>
  <si>
    <t>Курс клиента в Аксиоме</t>
  </si>
  <si>
    <t>Курс перекрытия в Аксиоме</t>
  </si>
  <si>
    <t>Курс клиента в Филиале, % от ЦБ</t>
  </si>
  <si>
    <t>Курс клиента в Аксиоме , % от ЦБ</t>
  </si>
  <si>
    <t>Курс перекрытия в Аксиоме, % от ЦБ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</si>
</sst>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dd\.mm\.yyyy"/>
    <numFmt numFmtId="167" formatCode="dd\.mm\.yyyy\ hh:mm"/>
    <numFmt numFmtId="168" formatCode="#,##0.00##;[Red]\-#,##0.00##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</font>
    <font>
      <sz val="10"/>
      <color rgb="FF000000"/>
      <name val="Calibri"/>
    </font>
    <font>
      <sz val="1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296DA5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166" fontId="4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8" fontId="4" fillId="0" borderId="2" xfId="0" applyNumberFormat="1" applyFont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/>
    </xf>
    <xf numFmtId="4" fontId="2" fillId="0" borderId="0" xfId="0" applyNumberFormat="1" applyFont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4" fontId="0" fillId="0" borderId="0" xfId="0" applyNumberFormat="1" applyFont="1" applyAlignment="1">
      <alignment horizontal="left" vertical="center"/>
    </xf>
    <xf numFmtId="4" fontId="0" fillId="0" borderId="0" xfId="0" applyNumberFormat="1" applyFont="1" applyAlignment="1">
      <alignment horizontal="left" vertical="center"/>
    </xf>
    <xf numFmtId="10" fontId="0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4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11"/>
  <sheetViews>
    <sheetView workbookViewId="0">
      <selection activeCell="F31" sqref="F31"/>
    </sheetView>
  </sheetViews>
  <sheetFormatPr defaultColWidth="9.1796875" defaultRowHeight="14.5" x14ac:dyDescent="0.35"/>
  <cols>
    <col min="1" max="1" width="9.90625" style="9" bestFit="1" customWidth="1"/>
    <col min="2" max="2" width="8.81640625" style="9" bestFit="1" customWidth="1"/>
    <col min="3" max="3" width="9.90625" style="9" bestFit="1" customWidth="1"/>
    <col min="4" max="4" width="13.26953125" style="13" bestFit="1" customWidth="1"/>
    <col min="5" max="5" width="15.36328125" style="9" bestFit="1" customWidth="1"/>
    <col min="6" max="6" width="9.453125" style="9" bestFit="1" customWidth="1"/>
    <col min="7" max="7" width="9.36328125" style="9" bestFit="1" customWidth="1"/>
    <col min="8" max="8" width="18.26953125" style="14" bestFit="1" customWidth="1"/>
    <col min="9" max="9" width="18.7265625" style="14" bestFit="1" customWidth="1"/>
    <col min="10" max="10" width="18.6328125" style="14" bestFit="1" customWidth="1"/>
    <col min="11" max="11" width="9.81640625" style="9" bestFit="1" customWidth="1"/>
    <col min="12" max="16384" width="9.1796875" style="9"/>
  </cols>
  <sheetData>
    <row r="1" spans="1:10" s="7" customFormat="1" x14ac:dyDescent="0.35">
      <c r="A1" s="7" t="s">
        <v>2</v>
      </c>
      <c r="B1" s="7" t="s">
        <v>13</v>
      </c>
      <c r="C1" s="7" t="s">
        <v>4</v>
      </c>
      <c r="D1" s="10" t="s">
        <v>8</v>
      </c>
      <c r="E1" s="7" t="s">
        <v>53</v>
      </c>
      <c r="F1" s="7" t="s">
        <v>11</v>
      </c>
      <c r="G1" s="7" t="s">
        <v>12</v>
      </c>
      <c r="H1" s="11" t="s">
        <v>55</v>
      </c>
      <c r="I1" s="11" t="s">
        <v>56</v>
      </c>
      <c r="J1" s="11" t="s">
        <v>57</v>
      </c>
    </row>
    <row r="2" spans="1:10" x14ac:dyDescent="0.35">
      <c r="A2" s="12">
        <v>46038</v>
      </c>
      <c r="B2" s="9">
        <v>0.870583</v>
      </c>
      <c r="C2" s="9" t="s">
        <v>41</v>
      </c>
      <c r="D2" s="13">
        <v>406801974</v>
      </c>
      <c r="F2" s="9">
        <v>0.8488</v>
      </c>
      <c r="G2" s="9">
        <v>0.85899999999999999</v>
      </c>
      <c r="H2" s="14" t="str">
        <f t="shared" ref="H2:H9" si="0">IF($E2="","",-($B2-$E2)/$B2)</f>
        <v/>
      </c>
      <c r="I2" s="14">
        <f t="shared" ref="I2:I9" si="1">-($B2-$F2)/$B2</f>
        <v>-2.5021163978621218E-2</v>
      </c>
      <c r="J2" s="14">
        <f t="shared" ref="J2:J9" si="2">-($B2-$G2)/$B2</f>
        <v>-1.3304877306356787E-2</v>
      </c>
    </row>
    <row r="3" spans="1:10" x14ac:dyDescent="0.35">
      <c r="A3" s="15">
        <v>46038</v>
      </c>
      <c r="B3" s="16">
        <v>0.870583</v>
      </c>
      <c r="C3" s="16" t="s">
        <v>42</v>
      </c>
      <c r="D3" s="17">
        <v>278885063.55000001</v>
      </c>
      <c r="E3" s="16"/>
      <c r="F3" s="16">
        <v>0.87060000000000004</v>
      </c>
      <c r="G3" s="16">
        <v>0.875</v>
      </c>
      <c r="H3" s="18" t="str">
        <f t="shared" si="0"/>
        <v/>
      </c>
      <c r="I3" s="18">
        <f t="shared" si="1"/>
        <v>1.9527144453825489E-5</v>
      </c>
      <c r="J3" s="18">
        <f t="shared" si="2"/>
        <v>5.073611591312953E-3</v>
      </c>
    </row>
    <row r="4" spans="1:10" x14ac:dyDescent="0.35">
      <c r="A4" s="12">
        <v>46037</v>
      </c>
      <c r="B4" s="9">
        <v>0.87106099999999997</v>
      </c>
      <c r="C4" s="9" t="s">
        <v>44</v>
      </c>
      <c r="D4" s="13">
        <v>48689019</v>
      </c>
      <c r="F4" s="9">
        <v>0.8649</v>
      </c>
      <c r="G4" s="9">
        <v>0.87150000000000005</v>
      </c>
      <c r="H4" s="14" t="str">
        <f t="shared" si="0"/>
        <v/>
      </c>
      <c r="I4" s="14">
        <f t="shared" si="1"/>
        <v>-7.0729834075913996E-3</v>
      </c>
      <c r="J4" s="14">
        <f t="shared" si="2"/>
        <v>5.0398307351618116E-4</v>
      </c>
    </row>
    <row r="5" spans="1:10" x14ac:dyDescent="0.35">
      <c r="A5" s="12">
        <v>46036</v>
      </c>
      <c r="B5" s="9">
        <v>0.87354299999999996</v>
      </c>
      <c r="C5" s="9" t="s">
        <v>43</v>
      </c>
      <c r="D5" s="13">
        <v>71000000</v>
      </c>
      <c r="F5" s="9">
        <v>0.86480000000000001</v>
      </c>
      <c r="G5" s="9">
        <v>0.86480000000000001</v>
      </c>
      <c r="H5" s="14" t="str">
        <f t="shared" si="0"/>
        <v/>
      </c>
      <c r="I5" s="14">
        <f t="shared" si="1"/>
        <v>-1.0008665858463689E-2</v>
      </c>
      <c r="J5" s="14">
        <f t="shared" si="2"/>
        <v>-1.0008665858463689E-2</v>
      </c>
    </row>
    <row r="6" spans="1:10" x14ac:dyDescent="0.35">
      <c r="A6" s="12">
        <v>46036</v>
      </c>
      <c r="B6" s="9">
        <v>0.87354299999999996</v>
      </c>
      <c r="C6" s="9" t="s">
        <v>37</v>
      </c>
      <c r="D6" s="13">
        <v>823687529</v>
      </c>
      <c r="F6" s="9">
        <v>0.85157099999999997</v>
      </c>
      <c r="G6" s="9">
        <v>0.85668100000000003</v>
      </c>
      <c r="H6" s="14" t="str">
        <f t="shared" si="0"/>
        <v/>
      </c>
      <c r="I6" s="14">
        <f t="shared" si="1"/>
        <v>-2.5152740048286108E-2</v>
      </c>
      <c r="J6" s="14">
        <f t="shared" si="2"/>
        <v>-1.9302999394420119E-2</v>
      </c>
    </row>
    <row r="7" spans="1:10" x14ac:dyDescent="0.35">
      <c r="A7" s="12">
        <v>46036</v>
      </c>
      <c r="B7" s="9">
        <v>0.87354299999999996</v>
      </c>
      <c r="C7" s="9" t="s">
        <v>40</v>
      </c>
      <c r="D7" s="13">
        <v>465025313.93000001</v>
      </c>
      <c r="F7" s="9">
        <v>0.86572499999999997</v>
      </c>
      <c r="G7" s="9">
        <v>0.87092000000000003</v>
      </c>
      <c r="H7" s="14" t="str">
        <f t="shared" si="0"/>
        <v/>
      </c>
      <c r="I7" s="14">
        <f t="shared" si="1"/>
        <v>-8.9497597714136481E-3</v>
      </c>
      <c r="J7" s="14">
        <f t="shared" si="2"/>
        <v>-3.0027142338727815E-3</v>
      </c>
    </row>
    <row r="8" spans="1:10" x14ac:dyDescent="0.35">
      <c r="A8" s="12">
        <v>46034</v>
      </c>
      <c r="B8" s="9">
        <v>0.86973699999999998</v>
      </c>
      <c r="C8" s="9" t="s">
        <v>38</v>
      </c>
      <c r="D8" s="13">
        <v>777393696.10000002</v>
      </c>
      <c r="F8" s="9">
        <v>0.84788799999999998</v>
      </c>
      <c r="G8" s="9">
        <v>0.85299999999999998</v>
      </c>
      <c r="H8" s="14" t="str">
        <f t="shared" si="0"/>
        <v/>
      </c>
      <c r="I8" s="14">
        <f t="shared" si="1"/>
        <v>-2.5121387269944832E-2</v>
      </c>
      <c r="J8" s="14">
        <f t="shared" si="2"/>
        <v>-1.9243748397504076E-2</v>
      </c>
    </row>
    <row r="9" spans="1:10" x14ac:dyDescent="0.35">
      <c r="A9" s="12">
        <v>46034</v>
      </c>
      <c r="B9" s="9">
        <v>0.86973699999999998</v>
      </c>
      <c r="C9" s="9" t="s">
        <v>39</v>
      </c>
      <c r="D9" s="13">
        <v>672666019</v>
      </c>
      <c r="F9" s="9">
        <v>0.84788799999999998</v>
      </c>
      <c r="G9" s="9">
        <v>0.85299999999999998</v>
      </c>
      <c r="H9" s="14" t="str">
        <f t="shared" si="0"/>
        <v/>
      </c>
      <c r="I9" s="14">
        <f t="shared" si="1"/>
        <v>-2.5121387269944832E-2</v>
      </c>
      <c r="J9" s="14">
        <f t="shared" si="2"/>
        <v>-1.9243748397504076E-2</v>
      </c>
    </row>
    <row r="10" spans="1:10" x14ac:dyDescent="0.35">
      <c r="A10" s="12"/>
    </row>
    <row r="11" spans="1:10" x14ac:dyDescent="0.35">
      <c r="A11" s="1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>
      <selection activeCell="D52" sqref="D52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N9"/>
  <sheetViews>
    <sheetView topLeftCell="C1" workbookViewId="0">
      <selection activeCell="C13" sqref="C13"/>
    </sheetView>
  </sheetViews>
  <sheetFormatPr defaultColWidth="15.54296875" defaultRowHeight="14.5" x14ac:dyDescent="0.35"/>
  <cols>
    <col min="1" max="2" width="0" hidden="1" customWidth="1"/>
    <col min="3" max="3" width="35.7265625" bestFit="1" customWidth="1"/>
    <col min="4" max="4" width="0" hidden="1" customWidth="1"/>
    <col min="6" max="15" width="0" hidden="1" customWidth="1"/>
    <col min="16" max="16" width="11.1796875" bestFit="1" customWidth="1"/>
    <col min="17" max="18" width="0" hidden="1" customWidth="1"/>
    <col min="19" max="19" width="9.453125" bestFit="1" customWidth="1"/>
    <col min="20" max="22" width="0" hidden="1" customWidth="1"/>
    <col min="23" max="23" width="11" bestFit="1" customWidth="1"/>
    <col min="24" max="24" width="9.1796875" bestFit="1" customWidth="1"/>
    <col min="25" max="25" width="13.1796875" bestFit="1" customWidth="1"/>
    <col min="26" max="26" width="13.453125" bestFit="1" customWidth="1"/>
    <col min="27" max="27" width="18.26953125" bestFit="1" customWidth="1"/>
    <col min="28" max="28" width="17.54296875" bestFit="1" customWidth="1"/>
    <col min="29" max="31" width="0" hidden="1" customWidth="1"/>
    <col min="32" max="32" width="12.453125" bestFit="1" customWidth="1"/>
    <col min="33" max="33" width="9.81640625" bestFit="1" customWidth="1"/>
    <col min="34" max="34" width="0" hidden="1" customWidth="1"/>
    <col min="35" max="35" width="7.453125" bestFit="1" customWidth="1"/>
  </cols>
  <sheetData>
    <row r="1" spans="1:40" ht="16.5" customHeight="1" x14ac:dyDescent="0.35">
      <c r="A1" s="1"/>
      <c r="B1" s="1"/>
      <c r="C1" s="1" t="s">
        <v>1</v>
      </c>
      <c r="D1" s="1"/>
      <c r="E1" s="6" t="s">
        <v>2</v>
      </c>
      <c r="F1" s="1"/>
      <c r="G1" s="1"/>
      <c r="H1" s="1"/>
      <c r="I1" s="1"/>
      <c r="J1" s="1"/>
      <c r="K1" s="1"/>
      <c r="L1" s="1"/>
      <c r="M1" s="1"/>
      <c r="N1" s="1"/>
      <c r="O1" s="1"/>
      <c r="P1" s="6" t="s">
        <v>3</v>
      </c>
      <c r="Q1" s="1"/>
      <c r="R1" s="1"/>
      <c r="S1" s="6" t="s">
        <v>4</v>
      </c>
      <c r="T1" s="1"/>
      <c r="U1" s="1"/>
      <c r="V1" s="1"/>
      <c r="W1" s="1" t="s">
        <v>5</v>
      </c>
      <c r="X1" s="1" t="s">
        <v>6</v>
      </c>
      <c r="Y1" s="6" t="s">
        <v>7</v>
      </c>
      <c r="Z1" s="6" t="s">
        <v>8</v>
      </c>
      <c r="AA1" s="6" t="s">
        <v>9</v>
      </c>
      <c r="AB1" s="1" t="s">
        <v>10</v>
      </c>
      <c r="AC1" s="1"/>
      <c r="AD1" s="1"/>
      <c r="AE1" s="1"/>
      <c r="AF1" s="1" t="s">
        <v>11</v>
      </c>
      <c r="AG1" s="1" t="s">
        <v>12</v>
      </c>
      <c r="AH1" s="1"/>
      <c r="AI1" s="1" t="s">
        <v>13</v>
      </c>
      <c r="AJ1" s="1"/>
      <c r="AK1" s="1"/>
      <c r="AL1" s="1"/>
      <c r="AM1" s="1"/>
      <c r="AN1" s="1"/>
    </row>
    <row r="2" spans="1:40" ht="16.5" customHeight="1" x14ac:dyDescent="0.35">
      <c r="A2" s="2"/>
      <c r="B2" s="2"/>
      <c r="C2" s="2" t="s">
        <v>17</v>
      </c>
      <c r="D2" s="2"/>
      <c r="E2" s="3">
        <v>46034</v>
      </c>
      <c r="F2" s="4"/>
      <c r="G2" s="2"/>
      <c r="H2" s="2"/>
      <c r="I2" s="2"/>
      <c r="J2" s="2"/>
      <c r="K2" s="2"/>
      <c r="L2" s="2"/>
      <c r="M2" s="2"/>
      <c r="N2" s="2"/>
      <c r="O2" s="2"/>
      <c r="P2" s="2" t="s">
        <v>14</v>
      </c>
      <c r="Q2" s="2"/>
      <c r="R2" s="2"/>
      <c r="S2" s="2" t="s">
        <v>38</v>
      </c>
      <c r="T2" s="2"/>
      <c r="U2" s="2"/>
      <c r="V2" s="2"/>
      <c r="W2" s="2" t="s">
        <v>18</v>
      </c>
      <c r="X2" s="2" t="s">
        <v>16</v>
      </c>
      <c r="Y2" s="2" t="s">
        <v>47</v>
      </c>
      <c r="Z2" s="5">
        <v>777393696.10000002</v>
      </c>
      <c r="AA2" s="2" t="s">
        <v>15</v>
      </c>
      <c r="AB2" s="5">
        <v>659142786.20000005</v>
      </c>
      <c r="AC2" s="3"/>
      <c r="AD2" s="2"/>
      <c r="AE2" s="3"/>
      <c r="AF2" s="2" t="s">
        <v>19</v>
      </c>
      <c r="AG2" s="5">
        <v>0.85299999999999998</v>
      </c>
      <c r="AH2" s="2"/>
      <c r="AI2" s="5">
        <v>86.973699999999994</v>
      </c>
      <c r="AJ2" s="5"/>
      <c r="AK2" s="2"/>
      <c r="AL2" s="2"/>
      <c r="AM2" s="2"/>
      <c r="AN2" s="2"/>
    </row>
    <row r="3" spans="1:40" ht="16.5" customHeight="1" x14ac:dyDescent="0.35">
      <c r="A3" s="2"/>
      <c r="B3" s="2"/>
      <c r="C3" s="2" t="s">
        <v>20</v>
      </c>
      <c r="D3" s="2"/>
      <c r="E3" s="3">
        <v>46034</v>
      </c>
      <c r="F3" s="4"/>
      <c r="G3" s="2"/>
      <c r="H3" s="2"/>
      <c r="I3" s="2"/>
      <c r="J3" s="2"/>
      <c r="K3" s="2"/>
      <c r="L3" s="2"/>
      <c r="M3" s="2"/>
      <c r="N3" s="2"/>
      <c r="O3" s="2"/>
      <c r="P3" s="2" t="s">
        <v>14</v>
      </c>
      <c r="Q3" s="2"/>
      <c r="R3" s="2"/>
      <c r="S3" s="2" t="s">
        <v>39</v>
      </c>
      <c r="T3" s="2"/>
      <c r="U3" s="2"/>
      <c r="V3" s="2"/>
      <c r="W3" s="2" t="s">
        <v>18</v>
      </c>
      <c r="X3" s="2" t="s">
        <v>16</v>
      </c>
      <c r="Y3" s="2" t="s">
        <v>47</v>
      </c>
      <c r="Z3" s="5">
        <v>672666019</v>
      </c>
      <c r="AA3" s="2" t="s">
        <v>15</v>
      </c>
      <c r="AB3" s="5">
        <v>570345445.51999998</v>
      </c>
      <c r="AC3" s="3"/>
      <c r="AD3" s="2"/>
      <c r="AE3" s="3"/>
      <c r="AF3" s="2" t="s">
        <v>19</v>
      </c>
      <c r="AG3" s="5">
        <v>0.85299999999999998</v>
      </c>
      <c r="AH3" s="2"/>
      <c r="AI3" s="5">
        <v>86.973699999999994</v>
      </c>
      <c r="AJ3" s="5"/>
      <c r="AK3" s="2"/>
      <c r="AL3" s="2"/>
      <c r="AM3" s="2"/>
      <c r="AN3" s="2"/>
    </row>
    <row r="4" spans="1:40" ht="16.5" customHeight="1" x14ac:dyDescent="0.35">
      <c r="A4" s="2"/>
      <c r="B4" s="2"/>
      <c r="C4" s="2" t="s">
        <v>22</v>
      </c>
      <c r="D4" s="2"/>
      <c r="E4" s="3">
        <v>46036</v>
      </c>
      <c r="F4" s="4"/>
      <c r="G4" s="2"/>
      <c r="H4" s="2"/>
      <c r="I4" s="2"/>
      <c r="J4" s="2"/>
      <c r="K4" s="2"/>
      <c r="L4" s="2"/>
      <c r="M4" s="2"/>
      <c r="N4" s="2"/>
      <c r="O4" s="2"/>
      <c r="P4" s="2" t="s">
        <v>14</v>
      </c>
      <c r="Q4" s="2"/>
      <c r="R4" s="2"/>
      <c r="S4" s="2" t="s">
        <v>37</v>
      </c>
      <c r="T4" s="2"/>
      <c r="U4" s="2"/>
      <c r="V4" s="2"/>
      <c r="W4" s="2" t="s">
        <v>18</v>
      </c>
      <c r="X4" s="2" t="s">
        <v>16</v>
      </c>
      <c r="Y4" s="2" t="s">
        <v>47</v>
      </c>
      <c r="Z4" s="5">
        <v>823687529</v>
      </c>
      <c r="AA4" s="2" t="s">
        <v>15</v>
      </c>
      <c r="AB4" s="5">
        <v>701428412.75999999</v>
      </c>
      <c r="AC4" s="3"/>
      <c r="AD4" s="2"/>
      <c r="AE4" s="3"/>
      <c r="AF4" s="2" t="s">
        <v>23</v>
      </c>
      <c r="AG4" s="5">
        <v>0.85668100000000003</v>
      </c>
      <c r="AH4" s="2"/>
      <c r="AI4" s="5">
        <v>87.354299999999995</v>
      </c>
      <c r="AJ4" s="5"/>
      <c r="AK4" s="2"/>
      <c r="AL4" s="2"/>
      <c r="AM4" s="2"/>
      <c r="AN4" s="2"/>
    </row>
    <row r="5" spans="1:40" ht="16.5" customHeight="1" x14ac:dyDescent="0.35">
      <c r="A5" s="2"/>
      <c r="B5" s="2"/>
      <c r="C5" s="2" t="s">
        <v>24</v>
      </c>
      <c r="D5" s="2"/>
      <c r="E5" s="3">
        <v>46036</v>
      </c>
      <c r="F5" s="4"/>
      <c r="G5" s="2"/>
      <c r="H5" s="2"/>
      <c r="I5" s="2"/>
      <c r="J5" s="2"/>
      <c r="K5" s="2"/>
      <c r="L5" s="2"/>
      <c r="M5" s="2"/>
      <c r="N5" s="2"/>
      <c r="O5" s="2"/>
      <c r="P5" s="2" t="s">
        <v>14</v>
      </c>
      <c r="Q5" s="2"/>
      <c r="R5" s="2"/>
      <c r="S5" s="2" t="s">
        <v>40</v>
      </c>
      <c r="T5" s="2"/>
      <c r="U5" s="2"/>
      <c r="V5" s="2"/>
      <c r="W5" s="2" t="s">
        <v>18</v>
      </c>
      <c r="X5" s="2" t="s">
        <v>16</v>
      </c>
      <c r="Y5" s="2" t="s">
        <v>47</v>
      </c>
      <c r="Z5" s="5">
        <v>465025313.93000001</v>
      </c>
      <c r="AA5" s="2" t="s">
        <v>15</v>
      </c>
      <c r="AB5" s="5">
        <v>402584039.89999998</v>
      </c>
      <c r="AC5" s="3"/>
      <c r="AD5" s="2"/>
      <c r="AE5" s="3"/>
      <c r="AF5" s="2" t="s">
        <v>25</v>
      </c>
      <c r="AG5" s="5">
        <v>0.87092000000000003</v>
      </c>
      <c r="AH5" s="2"/>
      <c r="AI5" s="5">
        <v>87.354299999999995</v>
      </c>
      <c r="AJ5" s="5"/>
      <c r="AK5" s="2"/>
      <c r="AL5" s="2"/>
      <c r="AM5" s="2"/>
      <c r="AN5" s="2"/>
    </row>
    <row r="6" spans="1:40" ht="16.5" customHeight="1" x14ac:dyDescent="0.35">
      <c r="A6" s="2"/>
      <c r="B6" s="2"/>
      <c r="C6" s="2" t="s">
        <v>26</v>
      </c>
      <c r="D6" s="2"/>
      <c r="E6" s="3">
        <v>46036</v>
      </c>
      <c r="F6" s="4"/>
      <c r="G6" s="2"/>
      <c r="H6" s="2"/>
      <c r="I6" s="2"/>
      <c r="J6" s="2"/>
      <c r="K6" s="2"/>
      <c r="L6" s="2"/>
      <c r="M6" s="2"/>
      <c r="N6" s="2"/>
      <c r="O6" s="2"/>
      <c r="P6" s="2" t="s">
        <v>14</v>
      </c>
      <c r="Q6" s="2"/>
      <c r="R6" s="2"/>
      <c r="S6" s="2" t="s">
        <v>43</v>
      </c>
      <c r="T6" s="2"/>
      <c r="U6" s="2"/>
      <c r="V6" s="2"/>
      <c r="W6" s="2" t="s">
        <v>27</v>
      </c>
      <c r="X6" s="2" t="s">
        <v>16</v>
      </c>
      <c r="Y6" s="2" t="s">
        <v>47</v>
      </c>
      <c r="Z6" s="5">
        <v>71000000</v>
      </c>
      <c r="AA6" s="2" t="s">
        <v>15</v>
      </c>
      <c r="AB6" s="5">
        <v>61400800</v>
      </c>
      <c r="AC6" s="3"/>
      <c r="AD6" s="2"/>
      <c r="AE6" s="3"/>
      <c r="AF6" s="2" t="s">
        <v>21</v>
      </c>
      <c r="AG6" s="5">
        <v>0.86480000000000001</v>
      </c>
      <c r="AH6" s="2"/>
      <c r="AI6" s="5">
        <v>87.354299999999995</v>
      </c>
      <c r="AJ6" s="5"/>
      <c r="AK6" s="2"/>
      <c r="AL6" s="2"/>
      <c r="AM6" s="2"/>
      <c r="AN6" s="2"/>
    </row>
    <row r="7" spans="1:40" ht="16.5" customHeight="1" x14ac:dyDescent="0.35">
      <c r="A7" s="2"/>
      <c r="B7" s="2"/>
      <c r="C7" s="2" t="s">
        <v>28</v>
      </c>
      <c r="D7" s="2"/>
      <c r="E7" s="3">
        <v>46037</v>
      </c>
      <c r="F7" s="4"/>
      <c r="G7" s="2"/>
      <c r="H7" s="2"/>
      <c r="I7" s="2"/>
      <c r="J7" s="2"/>
      <c r="K7" s="2"/>
      <c r="L7" s="2"/>
      <c r="M7" s="2"/>
      <c r="N7" s="2"/>
      <c r="O7" s="2"/>
      <c r="P7" s="2" t="s">
        <v>14</v>
      </c>
      <c r="Q7" s="2"/>
      <c r="R7" s="2"/>
      <c r="S7" s="2" t="s">
        <v>44</v>
      </c>
      <c r="T7" s="2"/>
      <c r="U7" s="2"/>
      <c r="V7" s="2"/>
      <c r="W7" s="2" t="s">
        <v>29</v>
      </c>
      <c r="X7" s="2" t="s">
        <v>16</v>
      </c>
      <c r="Y7" s="2" t="s">
        <v>47</v>
      </c>
      <c r="Z7" s="5">
        <v>48689019</v>
      </c>
      <c r="AA7" s="2" t="s">
        <v>15</v>
      </c>
      <c r="AB7" s="5">
        <v>42111132.530000001</v>
      </c>
      <c r="AC7" s="3"/>
      <c r="AD7" s="2"/>
      <c r="AE7" s="3"/>
      <c r="AF7" s="2" t="s">
        <v>30</v>
      </c>
      <c r="AG7" s="5">
        <v>0.87150000000000005</v>
      </c>
      <c r="AH7" s="2"/>
      <c r="AI7" s="5">
        <v>87.106099999999998</v>
      </c>
      <c r="AJ7" s="5"/>
      <c r="AK7" s="2"/>
      <c r="AL7" s="2"/>
      <c r="AM7" s="2"/>
      <c r="AN7" s="2"/>
    </row>
    <row r="8" spans="1:40" ht="16.5" customHeight="1" x14ac:dyDescent="0.35">
      <c r="A8" s="2"/>
      <c r="B8" s="2"/>
      <c r="C8" s="2" t="s">
        <v>31</v>
      </c>
      <c r="D8" s="2"/>
      <c r="E8" s="3">
        <v>46038</v>
      </c>
      <c r="F8" s="4"/>
      <c r="G8" s="2"/>
      <c r="H8" s="2"/>
      <c r="I8" s="2"/>
      <c r="J8" s="2"/>
      <c r="K8" s="2"/>
      <c r="L8" s="2"/>
      <c r="M8" s="2"/>
      <c r="N8" s="2"/>
      <c r="O8" s="2"/>
      <c r="P8" s="2" t="s">
        <v>14</v>
      </c>
      <c r="Q8" s="2"/>
      <c r="R8" s="2"/>
      <c r="S8" s="2" t="s">
        <v>41</v>
      </c>
      <c r="T8" s="2"/>
      <c r="U8" s="2"/>
      <c r="V8" s="2"/>
      <c r="W8" s="2" t="s">
        <v>32</v>
      </c>
      <c r="X8" s="2" t="s">
        <v>16</v>
      </c>
      <c r="Y8" s="2" t="s">
        <v>47</v>
      </c>
      <c r="Z8" s="5">
        <v>406801974</v>
      </c>
      <c r="AA8" s="2" t="s">
        <v>15</v>
      </c>
      <c r="AB8" s="5">
        <v>345293515.52999997</v>
      </c>
      <c r="AC8" s="3"/>
      <c r="AD8" s="2"/>
      <c r="AE8" s="3"/>
      <c r="AF8" s="2" t="s">
        <v>33</v>
      </c>
      <c r="AG8" s="5">
        <v>0.85899999999999999</v>
      </c>
      <c r="AH8" s="2"/>
      <c r="AI8" s="5">
        <v>87.058300000000003</v>
      </c>
      <c r="AJ8" s="5"/>
      <c r="AK8" s="2"/>
      <c r="AL8" s="2"/>
      <c r="AM8" s="2"/>
      <c r="AN8" s="2"/>
    </row>
    <row r="9" spans="1:40" ht="16.5" customHeight="1" x14ac:dyDescent="0.35">
      <c r="A9" s="2"/>
      <c r="B9" s="2"/>
      <c r="C9" s="2" t="s">
        <v>35</v>
      </c>
      <c r="D9" s="2"/>
      <c r="E9" s="3">
        <v>46038</v>
      </c>
      <c r="F9" s="4"/>
      <c r="G9" s="2"/>
      <c r="H9" s="2"/>
      <c r="I9" s="2"/>
      <c r="J9" s="2"/>
      <c r="K9" s="2"/>
      <c r="L9" s="2"/>
      <c r="M9" s="2"/>
      <c r="N9" s="2"/>
      <c r="O9" s="2"/>
      <c r="P9" s="2" t="s">
        <v>14</v>
      </c>
      <c r="Q9" s="2"/>
      <c r="R9" s="2"/>
      <c r="S9" s="2" t="s">
        <v>42</v>
      </c>
      <c r="T9" s="2"/>
      <c r="U9" s="2"/>
      <c r="V9" s="2"/>
      <c r="W9" s="2" t="s">
        <v>36</v>
      </c>
      <c r="X9" s="2" t="s">
        <v>16</v>
      </c>
      <c r="Y9" s="2" t="s">
        <v>47</v>
      </c>
      <c r="Z9" s="5">
        <v>278885063.55000001</v>
      </c>
      <c r="AA9" s="2" t="s">
        <v>15</v>
      </c>
      <c r="AB9" s="5">
        <v>242797336.33000001</v>
      </c>
      <c r="AC9" s="3"/>
      <c r="AD9" s="2"/>
      <c r="AE9" s="3"/>
      <c r="AF9" s="2" t="s">
        <v>34</v>
      </c>
      <c r="AG9" s="5">
        <v>0.875</v>
      </c>
      <c r="AH9" s="2"/>
      <c r="AI9" s="5">
        <v>87.058300000000003</v>
      </c>
      <c r="AJ9" s="5"/>
      <c r="AK9" s="2"/>
      <c r="AL9" s="2"/>
      <c r="AM9" s="2"/>
      <c r="AN9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G14"/>
  <sheetViews>
    <sheetView tabSelected="1" workbookViewId="0">
      <selection activeCell="K22" sqref="K22"/>
    </sheetView>
  </sheetViews>
  <sheetFormatPr defaultRowHeight="14.5" x14ac:dyDescent="0.35"/>
  <cols>
    <col min="1" max="1" width="16.7265625" style="8" bestFit="1" customWidth="1"/>
    <col min="2" max="2" width="8.90625" style="8" bestFit="1" customWidth="1"/>
    <col min="3" max="3" width="7.36328125" style="8" bestFit="1" customWidth="1"/>
    <col min="4" max="4" width="10.36328125" style="8" bestFit="1" customWidth="1"/>
    <col min="5" max="5" width="18.54296875" style="8" bestFit="1" customWidth="1"/>
    <col min="6" max="6" width="33.81640625" style="8" bestFit="1" customWidth="1"/>
    <col min="7" max="7" width="12.08984375" style="8" bestFit="1" customWidth="1"/>
    <col min="8" max="16384" width="8.7265625" style="8"/>
  </cols>
  <sheetData>
    <row r="1" spans="1:7" s="7" customFormat="1" x14ac:dyDescent="0.35">
      <c r="A1" s="7" t="s">
        <v>49</v>
      </c>
      <c r="B1" s="7" t="s">
        <v>50</v>
      </c>
      <c r="C1" s="7" t="s">
        <v>51</v>
      </c>
      <c r="D1" s="7" t="s">
        <v>48</v>
      </c>
      <c r="E1" s="7" t="s">
        <v>52</v>
      </c>
      <c r="F1" s="7" t="s">
        <v>58</v>
      </c>
      <c r="G1" s="7" t="s">
        <v>54</v>
      </c>
    </row>
    <row r="2" spans="1:7" x14ac:dyDescent="0.35">
      <c r="A2" s="8" t="s">
        <v>1</v>
      </c>
      <c r="B2" s="8" t="s">
        <v>47</v>
      </c>
      <c r="C2" s="8" t="s">
        <v>15</v>
      </c>
      <c r="D2" s="8">
        <v>0.5</v>
      </c>
      <c r="E2" s="8" t="s">
        <v>2</v>
      </c>
      <c r="F2" s="8" t="s">
        <v>59</v>
      </c>
      <c r="G2" s="8">
        <v>100</v>
      </c>
    </row>
    <row r="3" spans="1:7" x14ac:dyDescent="0.35">
      <c r="A3" s="8" t="s">
        <v>2</v>
      </c>
      <c r="E3" s="8" t="s">
        <v>13</v>
      </c>
      <c r="F3" s="8" t="s">
        <v>46</v>
      </c>
    </row>
    <row r="4" spans="1:7" x14ac:dyDescent="0.35">
      <c r="A4" s="8" t="s">
        <v>3</v>
      </c>
      <c r="E4" s="8" t="s">
        <v>4</v>
      </c>
      <c r="F4" s="8" t="s">
        <v>45</v>
      </c>
    </row>
    <row r="5" spans="1:7" x14ac:dyDescent="0.35">
      <c r="A5" s="8" t="s">
        <v>4</v>
      </c>
      <c r="E5" s="8" t="s">
        <v>8</v>
      </c>
      <c r="F5" s="8" t="s">
        <v>0</v>
      </c>
    </row>
    <row r="6" spans="1:7" x14ac:dyDescent="0.35">
      <c r="A6" s="8" t="s">
        <v>5</v>
      </c>
      <c r="E6" s="8" t="s">
        <v>53</v>
      </c>
      <c r="F6" s="8" t="s">
        <v>60</v>
      </c>
    </row>
    <row r="7" spans="1:7" x14ac:dyDescent="0.35">
      <c r="A7" s="8" t="s">
        <v>6</v>
      </c>
      <c r="E7" s="8" t="s">
        <v>11</v>
      </c>
      <c r="F7" s="8" t="s">
        <v>61</v>
      </c>
    </row>
    <row r="8" spans="1:7" x14ac:dyDescent="0.35">
      <c r="A8" s="8" t="s">
        <v>7</v>
      </c>
      <c r="E8" s="8" t="s">
        <v>12</v>
      </c>
      <c r="F8" s="8" t="s">
        <v>62</v>
      </c>
    </row>
    <row r="9" spans="1:7" x14ac:dyDescent="0.35">
      <c r="A9" s="8" t="s">
        <v>8</v>
      </c>
      <c r="E9" s="8" t="s">
        <v>55</v>
      </c>
      <c r="F9" s="8" t="s">
        <v>63</v>
      </c>
    </row>
    <row r="10" spans="1:7" x14ac:dyDescent="0.35">
      <c r="A10" s="8" t="s">
        <v>9</v>
      </c>
      <c r="E10" s="8" t="s">
        <v>56</v>
      </c>
      <c r="F10" s="8" t="s">
        <v>64</v>
      </c>
    </row>
    <row r="11" spans="1:7" x14ac:dyDescent="0.35">
      <c r="A11" s="8" t="s">
        <v>10</v>
      </c>
      <c r="E11" s="8" t="s">
        <v>57</v>
      </c>
      <c r="F11" s="8" t="s">
        <v>65</v>
      </c>
    </row>
    <row r="12" spans="1:7" x14ac:dyDescent="0.35">
      <c r="A12" s="8" t="s">
        <v>11</v>
      </c>
    </row>
    <row r="13" spans="1:7" x14ac:dyDescent="0.35">
      <c r="A13" s="8" t="s">
        <v>12</v>
      </c>
    </row>
    <row r="14" spans="1:7" x14ac:dyDescent="0.35">
      <c r="A14" s="8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Report</vt:lpstr>
      <vt:lpstr>History</vt:lpstr>
      <vt:lpstr>AXIOMA Deals</vt:lpstr>
      <vt:lpstr>Param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Мусин Артур Рустамович</dc:creator>
  <cp:lastModifiedBy>Алексей Баранов</cp:lastModifiedBy>
  <dcterms:created xsi:type="dcterms:W3CDTF">2025-12-24T18:36:15Z</dcterms:created>
  <dcterms:modified xsi:type="dcterms:W3CDTF">2026-01-20T06:26:29Z</dcterms:modified>
</cp:coreProperties>
</file>